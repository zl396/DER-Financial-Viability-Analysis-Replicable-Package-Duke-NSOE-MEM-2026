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TOBF Cash Flow" sheetId="2" state="visible" r:id="rId2"/>
    <sheet xmlns:r="http://schemas.openxmlformats.org/officeDocument/2006/relationships" name="Debt Comparison" sheetId="3" state="visible" r:id="rId3"/>
    <sheet xmlns:r="http://schemas.openxmlformats.org/officeDocument/2006/relationships" name="BCA Analysis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$#,##0.00"/>
    <numFmt numFmtId="166" formatCode="$#,##0"/>
    <numFmt numFmtId="167" formatCode="0.0%"/>
    <numFmt numFmtId="168" formatCode="$#,##0.000"/>
    <numFmt numFmtId="169" formatCode="0.00000"/>
    <numFmt numFmtId="170" formatCode="#,##0 &quot;years&quot;"/>
  </numFmts>
  <fonts count="29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i val="1"/>
      <color rgb="00C00000"/>
      <sz val="10"/>
    </font>
    <font>
      <i val="1"/>
      <sz val="9"/>
    </font>
    <font>
      <b val="1"/>
      <color rgb="00FFFFFF"/>
      <sz val="12"/>
    </font>
    <font>
      <sz val="10"/>
    </font>
    <font>
      <b val="1"/>
      <color rgb="00C00000"/>
      <sz val="11"/>
    </font>
    <font>
      <sz val="9"/>
    </font>
    <font>
      <color rgb="00C00000"/>
      <sz val="9"/>
    </font>
    <font>
      <color rgb="00333333"/>
      <sz val="10"/>
    </font>
    <font>
      <b val="1"/>
      <sz val="11"/>
    </font>
    <font>
      <b val="1"/>
      <color rgb="00333333"/>
      <sz val="11"/>
    </font>
    <font>
      <b val="1"/>
      <color rgb="00333333"/>
      <sz val="12"/>
    </font>
    <font>
      <b val="1"/>
      <sz val="12"/>
    </font>
    <font>
      <b val="1"/>
      <color rgb="00C00000"/>
      <sz val="12"/>
    </font>
    <font>
      <b val="1"/>
      <color rgb="00C00000"/>
      <sz val="9"/>
    </font>
    <font>
      <b val="1"/>
      <sz val="14"/>
    </font>
    <font>
      <b val="1"/>
      <sz val="10"/>
    </font>
    <font>
      <b val="1"/>
      <color rgb="00FFFFFF"/>
      <sz val="10"/>
    </font>
    <font>
      <b val="1"/>
      <color rgb="00C00000"/>
      <sz val="10"/>
    </font>
    <font>
      <b val="1"/>
      <color rgb="002F5496"/>
      <sz val="10"/>
    </font>
    <font>
      <b val="1"/>
    </font>
    <font>
      <b val="1"/>
      <color rgb="007030A0"/>
      <sz val="10"/>
    </font>
    <font>
      <b val="1"/>
      <color rgb="00548235"/>
      <sz val="10"/>
    </font>
    <font>
      <b val="1"/>
      <color rgb="002F5496"/>
      <sz val="11"/>
    </font>
    <font>
      <b val="1"/>
      <color rgb="002F5496"/>
      <sz val="14"/>
    </font>
    <font>
      <b val="1"/>
      <color rgb="002F5496"/>
      <sz val="12"/>
    </font>
    <font>
      <i val="1"/>
      <color rgb="00888888"/>
      <sz val="9"/>
    </font>
    <font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0" borderId="1" pivotButton="0" quotePrefix="0" xfId="0"/>
    <xf numFmtId="4" fontId="6" fillId="3" borderId="2" applyAlignment="1" pivotButton="0" quotePrefix="0" xfId="0">
      <alignment horizontal="center"/>
    </xf>
    <xf numFmtId="0" fontId="5" fillId="0" borderId="0" pivotButton="0" quotePrefix="0" xfId="0"/>
    <xf numFmtId="0" fontId="7" fillId="0" borderId="0" pivotButton="0" quotePrefix="0" xfId="0"/>
    <xf numFmtId="164" fontId="6" fillId="3" borderId="2" applyAlignment="1" pivotButton="0" quotePrefix="0" xfId="0">
      <alignment horizontal="center"/>
    </xf>
    <xf numFmtId="165" fontId="6" fillId="3" borderId="2" applyAlignment="1" pivotButton="0" quotePrefix="0" xfId="0">
      <alignment horizontal="center"/>
    </xf>
    <xf numFmtId="0" fontId="8" fillId="3" borderId="0" pivotButton="0" quotePrefix="0" xfId="0"/>
    <xf numFmtId="166" fontId="6" fillId="3" borderId="2" applyAlignment="1" pivotButton="0" quotePrefix="0" xfId="0">
      <alignment horizontal="center"/>
    </xf>
    <xf numFmtId="166" fontId="9" fillId="4" borderId="1" applyAlignment="1" pivotButton="0" quotePrefix="0" xfId="0">
      <alignment horizontal="center"/>
    </xf>
    <xf numFmtId="0" fontId="10" fillId="0" borderId="1" pivotButton="0" quotePrefix="0" xfId="0"/>
    <xf numFmtId="166" fontId="11" fillId="4" borderId="1" applyAlignment="1" pivotButton="0" quotePrefix="0" xfId="0">
      <alignment horizontal="center"/>
    </xf>
    <xf numFmtId="3" fontId="6" fillId="3" borderId="2" applyAlignment="1" pivotButton="0" quotePrefix="0" xfId="0">
      <alignment horizontal="center"/>
    </xf>
    <xf numFmtId="10" fontId="6" fillId="3" borderId="2" applyAlignment="1" pivotButton="0" quotePrefix="0" xfId="0">
      <alignment horizontal="center"/>
    </xf>
    <xf numFmtId="3" fontId="9" fillId="4" borderId="1" applyAlignment="1" pivotButton="0" quotePrefix="0" xfId="0">
      <alignment horizontal="center"/>
    </xf>
    <xf numFmtId="0" fontId="7" fillId="5" borderId="0" pivotButton="0" quotePrefix="0" xfId="0"/>
    <xf numFmtId="167" fontId="6" fillId="3" borderId="2" applyAlignment="1" pivotButton="0" quotePrefix="0" xfId="0">
      <alignment horizontal="center"/>
    </xf>
    <xf numFmtId="168" fontId="6" fillId="3" borderId="2" applyAlignment="1" pivotButton="0" quotePrefix="0" xfId="0">
      <alignment horizontal="center"/>
    </xf>
    <xf numFmtId="0" fontId="7" fillId="6" borderId="0" pivotButton="0" quotePrefix="0" xfId="0"/>
    <xf numFmtId="9" fontId="6" fillId="3" borderId="2" applyAlignment="1" pivotButton="0" quotePrefix="0" xfId="0">
      <alignment horizontal="center"/>
    </xf>
    <xf numFmtId="166" fontId="12" fillId="4" borderId="1" applyAlignment="1" pivotButton="0" quotePrefix="0" xfId="0">
      <alignment horizontal="center"/>
    </xf>
    <xf numFmtId="169" fontId="9" fillId="4" borderId="1" applyAlignment="1" pivotButton="0" quotePrefix="0" xfId="0">
      <alignment horizontal="center"/>
    </xf>
    <xf numFmtId="0" fontId="13" fillId="0" borderId="1" pivotButton="0" quotePrefix="0" xfId="0"/>
    <xf numFmtId="0" fontId="6" fillId="0" borderId="1" pivotButton="0" quotePrefix="0" xfId="0"/>
    <xf numFmtId="167" fontId="14" fillId="4" borderId="1" applyAlignment="1" pivotButton="0" quotePrefix="0" xfId="0">
      <alignment horizontal="center"/>
    </xf>
    <xf numFmtId="0" fontId="15" fillId="0" borderId="0" pivotButton="0" quotePrefix="0" xfId="0"/>
    <xf numFmtId="0" fontId="16" fillId="0" borderId="0" applyAlignment="1" pivotButton="0" quotePrefix="0" xfId="0">
      <alignment horizontal="center"/>
    </xf>
    <xf numFmtId="166" fontId="10" fillId="4" borderId="1" applyAlignment="1" pivotButton="0" quotePrefix="0" xfId="0">
      <alignment horizontal="center"/>
    </xf>
    <xf numFmtId="10" fontId="9" fillId="4" borderId="1" applyAlignment="1" pivotButton="0" quotePrefix="0" xfId="0">
      <alignment horizontal="center"/>
    </xf>
    <xf numFmtId="0" fontId="18" fillId="2" borderId="1" applyAlignment="1" pivotButton="0" quotePrefix="0" xfId="0">
      <alignment horizontal="center" wrapText="1"/>
    </xf>
    <xf numFmtId="0" fontId="17" fillId="0" borderId="0" pivotButton="0" quotePrefix="0" xfId="0"/>
    <xf numFmtId="166" fontId="0" fillId="0" borderId="1" pivotButton="0" quotePrefix="0" xfId="0"/>
    <xf numFmtId="0" fontId="17" fillId="0" borderId="1" pivotButton="0" quotePrefix="0" xfId="0"/>
    <xf numFmtId="166" fontId="17" fillId="0" borderId="1" pivotButton="0" quotePrefix="0" xfId="0"/>
    <xf numFmtId="0" fontId="19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0" fontId="20" fillId="0" borderId="1" pivotButton="0" quotePrefix="0" xfId="0"/>
    <xf numFmtId="166" fontId="21" fillId="0" borderId="1" pivotButton="0" quotePrefix="0" xfId="0"/>
    <xf numFmtId="0" fontId="22" fillId="0" borderId="1" pivotButton="0" quotePrefix="0" xfId="0"/>
    <xf numFmtId="0" fontId="23" fillId="0" borderId="1" pivotButton="0" quotePrefix="0" xfId="0"/>
    <xf numFmtId="10" fontId="0" fillId="0" borderId="1" pivotButton="0" quotePrefix="0" xfId="0"/>
    <xf numFmtId="3" fontId="0" fillId="0" borderId="1" pivotButton="0" quotePrefix="0" xfId="0"/>
    <xf numFmtId="0" fontId="24" fillId="0" borderId="0" pivotButton="0" quotePrefix="0" xfId="0"/>
    <xf numFmtId="0" fontId="25" fillId="0" borderId="0" pivotButton="0" quotePrefix="0" xfId="0"/>
    <xf numFmtId="2" fontId="13" fillId="0" borderId="1" pivotButton="0" quotePrefix="0" xfId="0"/>
    <xf numFmtId="0" fontId="7" fillId="0" borderId="1" pivotButton="0" quotePrefix="0" xfId="0"/>
    <xf numFmtId="0" fontId="26" fillId="0" borderId="0" pivotButton="0" quotePrefix="0" xfId="0"/>
    <xf numFmtId="166" fontId="13" fillId="0" borderId="1" pivotButton="0" quotePrefix="0" xfId="0"/>
    <xf numFmtId="0" fontId="27" fillId="0" borderId="1" pivotButton="0" quotePrefix="0" xfId="0"/>
    <xf numFmtId="167" fontId="13" fillId="0" borderId="1" pivotButton="0" quotePrefix="0" xfId="0"/>
    <xf numFmtId="49" fontId="13" fillId="0" borderId="1" pivotButton="0" quotePrefix="0" xfId="0"/>
    <xf numFmtId="10" fontId="13" fillId="0" borderId="1" pivotButton="0" quotePrefix="0" xfId="0"/>
    <xf numFmtId="170" fontId="13" fillId="0" borderId="1" pivotButton="0" quotePrefix="0" xfId="0"/>
    <xf numFmtId="0" fontId="14" fillId="0" borderId="0" pivotButton="0" quotePrefix="0" xfId="0"/>
    <xf numFmtId="166" fontId="10" fillId="0" borderId="1" pivotButton="0" quotePrefix="0" xfId="0"/>
    <xf numFmtId="166" fontId="6" fillId="0" borderId="1" pivotButton="0" quotePrefix="0" xfId="0"/>
    <xf numFmtId="168" fontId="10" fillId="0" borderId="1" pivotButton="0" quotePrefix="0" xfId="0"/>
    <xf numFmtId="0" fontId="10" fillId="0" borderId="0" pivotButton="0" quotePrefix="0" xfId="0"/>
    <xf numFmtId="1" fontId="0" fillId="7" borderId="0" pivotButton="0" quotePrefix="0" xfId="0"/>
    <xf numFmtId="1" fontId="0" fillId="8" borderId="0" pivotButton="0" quotePrefix="0" xfId="0"/>
    <xf numFmtId="3" fontId="0" fillId="8" borderId="0" pivotButton="0" quotePrefix="0" xfId="0"/>
    <xf numFmtId="0" fontId="2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8F00"/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0" customWidth="1" min="4" max="4"/>
    <col width="20" customWidth="1" min="5" max="5"/>
    <col width="55" customWidth="1" min="6" max="6"/>
  </cols>
  <sheetData>
    <row r="1" ht="30" customHeight="1">
      <c r="A1" s="1" t="inlineStr">
        <is>
          <t>NC TOBF Financial Model — Input Parameters</t>
        </is>
      </c>
    </row>
    <row r="2">
      <c r="A2" s="2" t="inlineStr">
        <is>
          <t>🟡 Yellow cells are editable inputs — change them to see all sheets update automatically</t>
        </is>
      </c>
    </row>
    <row r="3">
      <c r="A3" s="3" t="inlineStr">
        <is>
          <t>🔵 Blue = NC official data  |  🟢 Green = Minnesota proxy  |  ⬜ Gray = Calculated (formula)</t>
        </is>
      </c>
    </row>
    <row r="5">
      <c r="A5" s="4" t="inlineStr">
        <is>
          <t>SYSTEM PARAMETERS</t>
        </is>
      </c>
    </row>
    <row r="6">
      <c r="B6" s="6" t="inlineStr">
        <is>
          <t>Solar PV Capacity</t>
        </is>
      </c>
      <c r="C6" s="7" t="n">
        <v>5.8</v>
      </c>
      <c r="D6" s="8" t="inlineStr">
        <is>
          <t>kW</t>
        </is>
      </c>
      <c r="E6" s="9" t="inlineStr">
        <is>
          <t>Given</t>
        </is>
      </c>
      <c r="F6" s="9" t="inlineStr">
        <is>
          <t>User specified rooftop solar size</t>
        </is>
      </c>
    </row>
    <row r="7">
      <c r="B7" s="6" t="inlineStr">
        <is>
          <t>Energy Storage Capacity</t>
        </is>
      </c>
      <c r="C7" s="10" t="n">
        <v>13.5</v>
      </c>
      <c r="D7" s="8" t="inlineStr">
        <is>
          <t>kWh</t>
        </is>
      </c>
      <c r="E7" s="9" t="inlineStr">
        <is>
          <t>Given</t>
        </is>
      </c>
      <c r="F7" s="9" t="inlineStr">
        <is>
          <t>User specified battery size (e.g. Tesla Powerwall)</t>
        </is>
      </c>
    </row>
    <row r="8">
      <c r="B8" s="6" t="inlineStr">
        <is>
          <t>Solar Installed Cost</t>
        </is>
      </c>
      <c r="C8" s="11" t="n">
        <v>3</v>
      </c>
      <c r="D8" s="8" t="inlineStr">
        <is>
          <t>$/W</t>
        </is>
      </c>
      <c r="E8" s="12" t="inlineStr">
        <is>
          <t>⚠️ ASSUMPTION</t>
        </is>
      </c>
      <c r="F8" s="9" t="inlineStr">
        <is>
          <t>NREL ATB 2024 mid-range NC residential. Range: $2.75-$3.50/W</t>
        </is>
      </c>
    </row>
    <row r="9">
      <c r="B9" s="6" t="inlineStr">
        <is>
          <t>Battery Installed Cost</t>
        </is>
      </c>
      <c r="C9" s="13" t="n">
        <v>900</v>
      </c>
      <c r="D9" s="8" t="inlineStr">
        <is>
          <t>$/kWh</t>
        </is>
      </c>
      <c r="E9" s="12" t="inlineStr">
        <is>
          <t>⚠️ ASSUMPTION</t>
        </is>
      </c>
      <c r="F9" s="9" t="inlineStr">
        <is>
          <t>Industry avg 2024 incl. inverter &amp; labor. Range: $800-$1,200/kWh</t>
        </is>
      </c>
    </row>
    <row r="10">
      <c r="B10" s="6" t="inlineStr">
        <is>
          <t>Total Solar Cost</t>
        </is>
      </c>
      <c r="C10" s="14">
        <f>C6*1000*C8</f>
        <v/>
      </c>
      <c r="D10" s="8" t="inlineStr">
        <is>
          <t>$</t>
        </is>
      </c>
      <c r="E10" s="3" t="inlineStr">
        <is>
          <t>Calculated</t>
        </is>
      </c>
      <c r="F10" s="3">
        <f> kW × 1000 × $/W</f>
        <v/>
      </c>
    </row>
    <row r="11">
      <c r="B11" s="6" t="inlineStr">
        <is>
          <t>Total Battery Cost</t>
        </is>
      </c>
      <c r="C11" s="14">
        <f>C7*C9</f>
        <v/>
      </c>
      <c r="D11" s="8" t="inlineStr">
        <is>
          <t>$</t>
        </is>
      </c>
      <c r="E11" s="3" t="inlineStr">
        <is>
          <t>Calculated</t>
        </is>
      </c>
    </row>
    <row r="12">
      <c r="B12" s="15" t="inlineStr">
        <is>
          <t>★ Total System Cost</t>
        </is>
      </c>
      <c r="C12" s="16">
        <f>C10+C11</f>
        <v/>
      </c>
      <c r="D12" s="8" t="inlineStr">
        <is>
          <t>$</t>
        </is>
      </c>
      <c r="F12" s="3">
        <f> Solar cost + Battery cost</f>
        <v/>
      </c>
    </row>
    <row r="13">
      <c r="B13" s="6" t="inlineStr">
        <is>
          <t>System Useful Life</t>
        </is>
      </c>
      <c r="C13" s="17" t="n">
        <v>25</v>
      </c>
      <c r="D13" s="8" t="inlineStr">
        <is>
          <t>years</t>
        </is>
      </c>
      <c r="E13" s="12" t="inlineStr">
        <is>
          <t>⚠️ ASSUMPTION</t>
        </is>
      </c>
      <c r="F13" s="9" t="inlineStr">
        <is>
          <t>Industry standard solar panel warranty/life</t>
        </is>
      </c>
    </row>
    <row r="14">
      <c r="B14" s="6" t="inlineStr">
        <is>
          <t>Solar Annual Degradation</t>
        </is>
      </c>
      <c r="C14" s="18" t="n">
        <v>0.005</v>
      </c>
      <c r="D14" s="8" t="inlineStr">
        <is>
          <t>%/yr</t>
        </is>
      </c>
      <c r="E14" s="12" t="inlineStr">
        <is>
          <t>⚠️ ASSUMPTION</t>
        </is>
      </c>
      <c r="F14" s="9" t="inlineStr">
        <is>
          <t>Typical crystalline silicon panel degradation</t>
        </is>
      </c>
    </row>
    <row r="15">
      <c r="B15" s="6" t="inlineStr">
        <is>
          <t>Solar Capacity Factor</t>
        </is>
      </c>
      <c r="C15" s="17" t="n">
        <v>1400</v>
      </c>
      <c r="D15" s="8" t="inlineStr">
        <is>
          <t>kWh/kW/yr</t>
        </is>
      </c>
      <c r="E15" s="12" t="inlineStr">
        <is>
          <t>⚠️ ASSUMPTION</t>
        </is>
      </c>
      <c r="F15" s="9" t="inlineStr">
        <is>
          <t>NC avg ~4.5-5.0 peak sun hrs/day. Range: 1,300-1,500</t>
        </is>
      </c>
    </row>
    <row r="16">
      <c r="B16" s="6" t="inlineStr">
        <is>
          <t>Annual Solar Production (Year 1)</t>
        </is>
      </c>
      <c r="C16" s="19">
        <f>C6*C15</f>
        <v/>
      </c>
      <c r="D16" s="8" t="inlineStr">
        <is>
          <t>kWh/yr</t>
        </is>
      </c>
      <c r="E16" s="3" t="inlineStr">
        <is>
          <t>Calculated</t>
        </is>
      </c>
      <c r="F16" s="3">
        <f> kW × kWh/kW/yr</f>
        <v/>
      </c>
    </row>
    <row r="18">
      <c r="A18" s="4" t="inlineStr">
        <is>
          <t>ELECTRICITY &amp; CUSTOMER SAVINGS (NC Data)</t>
        </is>
      </c>
    </row>
    <row r="19">
      <c r="B19" s="6" t="inlineStr">
        <is>
          <t>Annual Electricity Bill (no system)</t>
        </is>
      </c>
      <c r="C19" s="13" t="n">
        <v>1624</v>
      </c>
      <c r="D19" s="8" t="inlineStr">
        <is>
          <t>$/yr</t>
        </is>
      </c>
      <c r="E19" s="20" t="inlineStr">
        <is>
          <t>NC Data</t>
        </is>
      </c>
      <c r="F19" s="9" t="inlineStr">
        <is>
          <t>From existing NMBPowerPair Excel model, NC residential</t>
        </is>
      </c>
    </row>
    <row r="20">
      <c r="B20" s="6" t="inlineStr">
        <is>
          <t>Annual Electricity Bill (with system)</t>
        </is>
      </c>
      <c r="C20" s="13" t="n">
        <v>1048</v>
      </c>
      <c r="D20" s="8" t="inlineStr">
        <is>
          <t>$/yr</t>
        </is>
      </c>
      <c r="E20" s="20" t="inlineStr">
        <is>
          <t>NC Data</t>
        </is>
      </c>
      <c r="F20" s="9" t="inlineStr">
        <is>
          <t>From existing model — reflects solar+battery bill reduction</t>
        </is>
      </c>
    </row>
    <row r="21">
      <c r="B21" s="15" t="inlineStr">
        <is>
          <t>★ Year 1 Electricity Savings</t>
        </is>
      </c>
      <c r="C21" s="16">
        <f>C19-C20</f>
        <v/>
      </c>
      <c r="D21" s="8" t="inlineStr">
        <is>
          <t>$/yr</t>
        </is>
      </c>
    </row>
    <row r="22">
      <c r="B22" s="6" t="inlineStr">
        <is>
          <t>Monthly Electricity Savings (Year 1)</t>
        </is>
      </c>
      <c r="C22" s="14">
        <f>C21/12</f>
        <v/>
      </c>
      <c r="D22" s="8" t="inlineStr">
        <is>
          <t>$/mo</t>
        </is>
      </c>
    </row>
    <row r="23">
      <c r="B23" s="6" t="inlineStr">
        <is>
          <t>Electricity Cost Escalation Rate</t>
        </is>
      </c>
      <c r="C23" s="18" t="n">
        <v>0.025</v>
      </c>
      <c r="D23" s="8" t="inlineStr">
        <is>
          <t>%/yr</t>
        </is>
      </c>
      <c r="E23" s="20" t="inlineStr">
        <is>
          <t>NC Data</t>
        </is>
      </c>
      <c r="F23" s="9" t="inlineStr">
        <is>
          <t>Based on NC historical utility rate trends from existing model</t>
        </is>
      </c>
    </row>
    <row r="24">
      <c r="B24" s="6" t="inlineStr">
        <is>
          <t>Customer Discount Rate</t>
        </is>
      </c>
      <c r="C24" s="18" t="n">
        <v>0.064</v>
      </c>
      <c r="D24" s="8" t="inlineStr">
        <is>
          <t>%</t>
        </is>
      </c>
      <c r="E24" s="20" t="inlineStr">
        <is>
          <t>NC Data</t>
        </is>
      </c>
      <c r="F24" s="9" t="inlineStr">
        <is>
          <t>From existing Excel model — customer perspective discount rate</t>
        </is>
      </c>
    </row>
    <row r="26">
      <c r="A26" s="4" t="inlineStr">
        <is>
          <t>UTILITY COST OF CAPITAL (NC Utilities Commission Approved)</t>
        </is>
      </c>
    </row>
    <row r="27">
      <c r="B27" s="6" t="inlineStr">
        <is>
          <t>DEC Overall Rate of Return (WACC)</t>
        </is>
      </c>
      <c r="C27" s="18" t="n">
        <v>0.075</v>
      </c>
      <c r="D27" s="8" t="inlineStr">
        <is>
          <t>%</t>
        </is>
      </c>
      <c r="E27" s="20" t="inlineStr">
        <is>
          <t>NC Approved</t>
        </is>
      </c>
      <c r="F27" s="9" t="inlineStr">
        <is>
          <t>NC Utilities Commission Docket E-7, Sub 1276</t>
        </is>
      </c>
    </row>
    <row r="28">
      <c r="B28" s="6" t="inlineStr">
        <is>
          <t>DEP Overall Rate of Return (WACC)</t>
        </is>
      </c>
      <c r="C28" s="18" t="n">
        <v>0.0709</v>
      </c>
      <c r="D28" s="8" t="inlineStr">
        <is>
          <t>%</t>
        </is>
      </c>
      <c r="E28" s="20" t="inlineStr">
        <is>
          <t>NC Approved</t>
        </is>
      </c>
      <c r="F28" s="9" t="inlineStr">
        <is>
          <t>NC Utilities Commission Docket E-2, Sub 1300</t>
        </is>
      </c>
    </row>
    <row r="29">
      <c r="B29" s="6" t="inlineStr">
        <is>
          <t>Equity Ratio (DEC &amp; DEP)</t>
        </is>
      </c>
      <c r="C29" s="21" t="n">
        <v>0.53</v>
      </c>
      <c r="D29" s="8" t="inlineStr">
        <is>
          <t>%</t>
        </is>
      </c>
      <c r="E29" s="20" t="inlineStr">
        <is>
          <t>NC Approved</t>
        </is>
      </c>
    </row>
    <row r="30">
      <c r="B30" s="6" t="inlineStr">
        <is>
          <t>DEC Return on Equity</t>
        </is>
      </c>
      <c r="C30" s="18" t="n">
        <v>0.101</v>
      </c>
      <c r="D30" s="8" t="inlineStr">
        <is>
          <t>%</t>
        </is>
      </c>
      <c r="E30" s="20" t="inlineStr">
        <is>
          <t>NC Approved</t>
        </is>
      </c>
    </row>
    <row r="31">
      <c r="B31" s="6" t="inlineStr">
        <is>
          <t>DEC Long-Term Debt Cost</t>
        </is>
      </c>
      <c r="C31" s="18" t="n">
        <v>0.0456</v>
      </c>
      <c r="D31" s="8" t="inlineStr">
        <is>
          <t>%</t>
        </is>
      </c>
      <c r="E31" s="20" t="inlineStr">
        <is>
          <t>NC Approved</t>
        </is>
      </c>
    </row>
    <row r="32">
      <c r="B32" s="15" t="inlineStr">
        <is>
          <t>★ TOBF Tariff Rate (= Utility WACC)</t>
        </is>
      </c>
      <c r="C32" s="18">
        <f>C27</f>
        <v/>
      </c>
      <c r="D32" s="8" t="inlineStr">
        <is>
          <t>%</t>
        </is>
      </c>
      <c r="F32" s="3" t="inlineStr">
        <is>
          <t>Default = DEC WACC. User can override to test different rates.</t>
        </is>
      </c>
    </row>
    <row r="34">
      <c r="A34" s="4" t="inlineStr">
        <is>
          <t>AVOIDED COSTS (NC Utility Data)</t>
        </is>
      </c>
    </row>
    <row r="35">
      <c r="B35" s="6" t="inlineStr">
        <is>
          <t>Avoided Energy+Capacity Cost (DEC)</t>
        </is>
      </c>
      <c r="C35" s="22" t="n">
        <v>0.032</v>
      </c>
      <c r="D35" s="8" t="inlineStr">
        <is>
          <t>$/kWh</t>
        </is>
      </c>
      <c r="E35" s="20" t="inlineStr">
        <is>
          <t>NC Data</t>
        </is>
      </c>
      <c r="F35" s="9" t="inlineStr">
        <is>
          <t>Combined 10yr Avoided E&amp;C chart, 2021 value</t>
        </is>
      </c>
    </row>
    <row r="36">
      <c r="B36" s="6" t="inlineStr">
        <is>
          <t>Avoided Energy+Capacity Cost (DEP)</t>
        </is>
      </c>
      <c r="C36" s="22" t="n">
        <v>0.04</v>
      </c>
      <c r="D36" s="8" t="inlineStr">
        <is>
          <t>$/kWh</t>
        </is>
      </c>
      <c r="E36" s="20" t="inlineStr">
        <is>
          <t>NC Data</t>
        </is>
      </c>
    </row>
    <row r="37">
      <c r="B37" s="15" t="inlineStr">
        <is>
          <t>★ Avoided Cost (model input)</t>
        </is>
      </c>
      <c r="C37" s="22">
        <f>AVERAGE(C35,C36)</f>
        <v/>
      </c>
      <c r="D37" s="8" t="inlineStr">
        <is>
          <t>$/kWh</t>
        </is>
      </c>
      <c r="F37" s="3" t="inlineStr">
        <is>
          <t>Default = avg DEC/DEP. User can override.</t>
        </is>
      </c>
    </row>
    <row r="38">
      <c r="B38" s="6" t="inlineStr">
        <is>
          <t>Avoided Cost Annual Escalation</t>
        </is>
      </c>
      <c r="C38" s="18" t="n">
        <v>0.02</v>
      </c>
      <c r="D38" s="8" t="inlineStr">
        <is>
          <t>%/yr</t>
        </is>
      </c>
      <c r="E38" s="12" t="inlineStr">
        <is>
          <t>⚠️ ASSUMPTION</t>
        </is>
      </c>
      <c r="F38" s="9" t="inlineStr">
        <is>
          <t>Conservative. Historically volatile; range 0-4%/yr</t>
        </is>
      </c>
    </row>
    <row r="39">
      <c r="B39" s="6" t="inlineStr">
        <is>
          <t>Annual Avoided Cost to Utility (Year 1)</t>
        </is>
      </c>
      <c r="C39" s="14">
        <f>C16*C37</f>
        <v/>
      </c>
      <c r="D39" s="8" t="inlineStr">
        <is>
          <t>$/yr</t>
        </is>
      </c>
      <c r="F39" s="3">
        <f> Annual kWh × Avoided cost $/kWh</f>
        <v/>
      </c>
    </row>
    <row r="41">
      <c r="A41" s="4" t="inlineStr">
        <is>
          <t>PROGRAM &amp; ADMIN COSTS (Minnesota BCA Proxy)</t>
        </is>
      </c>
    </row>
    <row r="42">
      <c r="B42" s="6" t="inlineStr">
        <is>
          <t>Per-Participant Admin Cost</t>
        </is>
      </c>
      <c r="C42" s="13" t="n">
        <v>1090</v>
      </c>
      <c r="D42" s="8" t="inlineStr">
        <is>
          <t>$</t>
        </is>
      </c>
      <c r="E42" s="23" t="inlineStr">
        <is>
          <t>MN Proxy</t>
        </is>
      </c>
      <c r="F42" s="9" t="inlineStr">
        <is>
          <t>Avg of EEtility $1,130 &amp; CenterPoint $1,050 (MN BCA p.54-55)</t>
        </is>
      </c>
    </row>
    <row r="43">
      <c r="B43" s="6" t="inlineStr">
        <is>
          <t>Loss Reserve Rate</t>
        </is>
      </c>
      <c r="C43" s="18" t="n">
        <v>0.01</v>
      </c>
      <c r="D43" s="8" t="inlineStr">
        <is>
          <t>%</t>
        </is>
      </c>
      <c r="E43" s="23" t="inlineStr">
        <is>
          <t>MN Proxy</t>
        </is>
      </c>
      <c r="F43" s="9" t="inlineStr">
        <is>
          <t>MN BCA Table 45 fn41. 1% standard; PAYS historical: 0%-0.5%</t>
        </is>
      </c>
    </row>
    <row r="44">
      <c r="B44" s="6" t="inlineStr">
        <is>
          <t>Loss Reserve Amount</t>
        </is>
      </c>
      <c r="C44" s="14">
        <f>C12*C43</f>
        <v/>
      </c>
      <c r="D44" s="8" t="inlineStr">
        <is>
          <t>$</t>
        </is>
      </c>
    </row>
    <row r="46">
      <c r="A46" s="4" t="inlineStr">
        <is>
          <t>TOBF TARIFF STRUCTURE</t>
        </is>
      </c>
    </row>
    <row r="47">
      <c r="B47" s="6" t="inlineStr">
        <is>
          <t>PAYS Max Cost Recovery Factor</t>
        </is>
      </c>
      <c r="C47" s="24" t="n">
        <v>0.8</v>
      </c>
      <c r="D47" s="8" t="inlineStr">
        <is>
          <t>×</t>
        </is>
      </c>
      <c r="F47" s="9" t="inlineStr">
        <is>
          <t>PAYS® rule: tariff charge ≤ 80% of estimated savings</t>
        </is>
      </c>
    </row>
    <row r="48">
      <c r="B48" s="6" t="inlineStr">
        <is>
          <t>PAYS Max Recovery Period</t>
        </is>
      </c>
      <c r="C48" s="19">
        <f>FLOOR(C13*C47,1)</f>
        <v/>
      </c>
      <c r="D48" s="8" t="inlineStr">
        <is>
          <t>years</t>
        </is>
      </c>
      <c r="F48" s="3">
        <f> Useful life × 80% (PAYS rule)</f>
        <v/>
      </c>
    </row>
    <row r="49">
      <c r="B49" s="15" t="inlineStr">
        <is>
          <t>★ Recovery Period (model input)</t>
        </is>
      </c>
      <c r="C49" s="17">
        <f>C48</f>
        <v/>
      </c>
      <c r="D49" s="8" t="inlineStr">
        <is>
          <t>years</t>
        </is>
      </c>
      <c r="F49" s="3" t="inlineStr">
        <is>
          <t>Default = PAYS max. User can change (e.g. 15 or 25 years).</t>
        </is>
      </c>
    </row>
    <row r="51">
      <c r="A51" s="4" t="inlineStr">
        <is>
          <t>KEY CALCULATED OUTPUTS (auto-update when inputs change)</t>
        </is>
      </c>
    </row>
    <row r="52">
      <c r="B52" s="15" t="inlineStr">
        <is>
          <t>★ Total Utility Investment (incl. battery replacement PV)</t>
        </is>
      </c>
      <c r="C52" s="25">
        <f>C12+C42+C44+C76</f>
        <v/>
      </c>
      <c r="F52" s="3">
        <f> System cost + Admin cost + Loss reserve</f>
        <v/>
      </c>
    </row>
    <row r="53">
      <c r="B53" s="6" t="inlineStr">
        <is>
          <t>Capital Recovery Factor (CRF)</t>
        </is>
      </c>
      <c r="C53" s="26">
        <f>IF(C32=0, 1/C49, C32*(1+C32)^C49/((1+C32)^C49-1))</f>
        <v/>
      </c>
      <c r="F53" s="3">
        <f> r(1+r)^n / ((1+r)^n - 1). Handles 0% rate.</f>
        <v/>
      </c>
    </row>
    <row r="54">
      <c r="B54" s="27" t="inlineStr">
        <is>
          <t>★ Annual Tariff Charge</t>
        </is>
      </c>
      <c r="C54" s="25">
        <f>C52*C53</f>
        <v/>
      </c>
      <c r="D54" s="8" t="inlineStr">
        <is>
          <t>$/yr</t>
        </is>
      </c>
    </row>
    <row r="55">
      <c r="B55" s="27" t="inlineStr">
        <is>
          <t>★ Monthly Tariff Charge</t>
        </is>
      </c>
      <c r="C55" s="25">
        <f>C54/12</f>
        <v/>
      </c>
      <c r="D55" s="8" t="inlineStr">
        <is>
          <t>$/mo</t>
        </is>
      </c>
    </row>
    <row r="56">
      <c r="B56" s="6" t="inlineStr">
        <is>
          <t>PAYS 80% Max Monthly Tariff</t>
        </is>
      </c>
      <c r="C56" s="14">
        <f>C22*C47</f>
        <v/>
      </c>
      <c r="D56" s="8" t="inlineStr">
        <is>
          <t>$/mo</t>
        </is>
      </c>
    </row>
    <row r="57">
      <c r="B57" s="28" t="inlineStr">
        <is>
          <t>⚡ Tariff / Savings Ratio</t>
        </is>
      </c>
      <c r="C57" s="29">
        <f>IF(C22&gt;0, C55/C22, 0)</f>
        <v/>
      </c>
      <c r="F57" s="30" t="inlineStr">
        <is>
          <t>Must be ≤ 80% for PAYS® compliance. Red = fails.</t>
        </is>
      </c>
    </row>
    <row r="58">
      <c r="B58" s="28" t="inlineStr">
        <is>
          <t>⚡ PAYS® Compliant?</t>
        </is>
      </c>
      <c r="C58" s="31">
        <f>IF(C57&lt;=C47,"YES ✅","NO ❌")</f>
        <v/>
      </c>
    </row>
    <row r="59">
      <c r="B59" s="6" t="inlineStr">
        <is>
          <t>Net Monthly Impact to Customer (Y1)</t>
        </is>
      </c>
      <c r="C59" s="32">
        <f>C22-C55</f>
        <v/>
      </c>
      <c r="F59" s="3" t="inlineStr">
        <is>
          <t>Positive = customer saves; Negative = customer pays more</t>
        </is>
      </c>
    </row>
    <row r="61">
      <c r="A61" s="4" t="inlineStr">
        <is>
          <t>BCA DISCOUNT RATES</t>
        </is>
      </c>
    </row>
    <row r="62">
      <c r="B62" s="6" t="inlineStr">
        <is>
          <t>SCT/PCT Discount Rate</t>
        </is>
      </c>
      <c r="C62" s="18" t="n">
        <v>0.0255</v>
      </c>
      <c r="E62" s="23" t="inlineStr">
        <is>
          <t>MN Proxy</t>
        </is>
      </c>
      <c r="F62" s="9" t="inlineStr">
        <is>
          <t>Minnesota BCA Table 44 (Xcel CIP rate)</t>
        </is>
      </c>
    </row>
    <row r="63">
      <c r="B63" s="6" t="inlineStr">
        <is>
          <t>UCT/RIM Discount Rate</t>
        </is>
      </c>
      <c r="C63" s="33">
        <f>C32</f>
        <v/>
      </c>
      <c r="F63" s="3">
        <f> TOBF rate (NC WACC), adapted from MN framework</f>
        <v/>
      </c>
    </row>
    <row r="65">
      <c r="A65" s="4" t="inlineStr">
        <is>
          <t>DEBT FINANCING COMPARISON INPUTS</t>
        </is>
      </c>
    </row>
    <row r="66">
      <c r="B66" s="6" t="inlineStr">
        <is>
          <t>Debt Interest Rate</t>
        </is>
      </c>
      <c r="C66" s="18" t="n">
        <v>0.07240000000000001</v>
      </c>
      <c r="D66" s="8" t="inlineStr">
        <is>
          <t>%</t>
        </is>
      </c>
      <c r="E66" s="20" t="inlineStr">
        <is>
          <t>NC Data</t>
        </is>
      </c>
      <c r="F66" s="9" t="inlineStr">
        <is>
          <t>From existing NMBPowerPair model</t>
        </is>
      </c>
    </row>
    <row r="67">
      <c r="B67" s="6" t="inlineStr">
        <is>
          <t>Debt Term</t>
        </is>
      </c>
      <c r="C67" s="17" t="n">
        <v>25</v>
      </c>
      <c r="D67" s="8" t="inlineStr">
        <is>
          <t>years</t>
        </is>
      </c>
      <c r="E67" s="20" t="inlineStr">
        <is>
          <t>NC Data</t>
        </is>
      </c>
    </row>
    <row r="68">
      <c r="B68" s="6" t="inlineStr">
        <is>
          <t>Debt Annual Payment</t>
        </is>
      </c>
      <c r="C68" s="14">
        <f>IF(C66=0, C12/C67, C12*C66*(1+C66)^C67/((1+C66)^C67-1))</f>
        <v/>
      </c>
    </row>
    <row r="69">
      <c r="B69" s="6" t="inlineStr">
        <is>
          <t>Debt Monthly Payment</t>
        </is>
      </c>
      <c r="C69" s="14">
        <f>C68/12</f>
        <v/>
      </c>
    </row>
    <row r="71">
      <c r="A71" s="63" t="inlineStr">
        <is>
          <t>BATTERY REPLACEMENT (Agent Audit Finding)</t>
        </is>
      </c>
    </row>
    <row r="73">
      <c r="B73" t="inlineStr">
        <is>
          <t>Battery Useful Life</t>
        </is>
      </c>
      <c r="C73" s="64" t="n">
        <v>13</v>
      </c>
      <c r="D73" t="inlineStr">
        <is>
          <t>years</t>
        </is>
      </c>
    </row>
    <row r="74">
      <c r="B74" t="inlineStr">
        <is>
          <t>Battery Replacement Year</t>
        </is>
      </c>
      <c r="C74" s="65">
        <f>C73</f>
        <v/>
      </c>
      <c r="D74" t="inlineStr">
        <is>
          <t>year</t>
        </is>
      </c>
    </row>
    <row r="75">
      <c r="B75" t="inlineStr">
        <is>
          <t>Battery Replacement Cost (nominal)</t>
        </is>
      </c>
      <c r="C75" s="66">
        <f>C7*C9</f>
        <v/>
      </c>
      <c r="D75" t="inlineStr">
        <is>
          <t>$</t>
        </is>
      </c>
    </row>
    <row r="76">
      <c r="B76" t="inlineStr">
        <is>
          <t>PV of Battery Replacement Cost</t>
        </is>
      </c>
      <c r="C76" s="66">
        <f>C75/(1+C32)^C74</f>
        <v/>
      </c>
      <c r="D76" t="inlineStr">
        <is>
          <t>$</t>
        </is>
      </c>
    </row>
    <row r="78">
      <c r="A78" s="67" t="inlineStr">
        <is>
          <t>Source: NREL battery lifespan data, manufacturer warranty (10-15 yr typical). Using 13 yr as mid-estimate.</t>
        </is>
      </c>
    </row>
  </sheetData>
  <mergeCells count="12">
    <mergeCell ref="A41:F41"/>
    <mergeCell ref="A2:F2"/>
    <mergeCell ref="A51:F51"/>
    <mergeCell ref="A46:F46"/>
    <mergeCell ref="A1:F1"/>
    <mergeCell ref="A5:F5"/>
    <mergeCell ref="A61:F61"/>
    <mergeCell ref="A26:F26"/>
    <mergeCell ref="A34:F34"/>
    <mergeCell ref="A18:F18"/>
    <mergeCell ref="A3:F3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</cols>
  <sheetData>
    <row r="1" ht="25" customHeight="1">
      <c r="A1" s="1" t="inlineStr">
        <is>
          <t>NC TOBF Model — 25-Year Cash Flow (All formulas reference Inputs sheet)</t>
        </is>
      </c>
    </row>
    <row r="3">
      <c r="A3" s="34" t="inlineStr"/>
      <c r="B3" s="34" t="inlineStr">
        <is>
          <t>Year 0</t>
        </is>
      </c>
      <c r="C3" s="34" t="inlineStr">
        <is>
          <t>Year 1</t>
        </is>
      </c>
      <c r="D3" s="34" t="inlineStr">
        <is>
          <t>Year 2</t>
        </is>
      </c>
      <c r="E3" s="34" t="inlineStr">
        <is>
          <t>Year 3</t>
        </is>
      </c>
      <c r="F3" s="34" t="inlineStr">
        <is>
          <t>Year 4</t>
        </is>
      </c>
      <c r="G3" s="34" t="inlineStr">
        <is>
          <t>Year 5</t>
        </is>
      </c>
      <c r="H3" s="34" t="inlineStr">
        <is>
          <t>Year 6</t>
        </is>
      </c>
      <c r="I3" s="34" t="inlineStr">
        <is>
          <t>Year 7</t>
        </is>
      </c>
      <c r="J3" s="34" t="inlineStr">
        <is>
          <t>Year 8</t>
        </is>
      </c>
      <c r="K3" s="34" t="inlineStr">
        <is>
          <t>Year 9</t>
        </is>
      </c>
      <c r="L3" s="34" t="inlineStr">
        <is>
          <t>Year 10</t>
        </is>
      </c>
      <c r="M3" s="34" t="inlineStr">
        <is>
          <t>Year 11</t>
        </is>
      </c>
      <c r="N3" s="34" t="inlineStr">
        <is>
          <t>Year 12</t>
        </is>
      </c>
      <c r="O3" s="34" t="inlineStr">
        <is>
          <t>Year 13</t>
        </is>
      </c>
      <c r="P3" s="34" t="inlineStr">
        <is>
          <t>Year 14</t>
        </is>
      </c>
      <c r="Q3" s="34" t="inlineStr">
        <is>
          <t>Year 15</t>
        </is>
      </c>
      <c r="R3" s="34" t="inlineStr">
        <is>
          <t>Year 16</t>
        </is>
      </c>
      <c r="S3" s="34" t="inlineStr">
        <is>
          <t>Year 17</t>
        </is>
      </c>
      <c r="T3" s="34" t="inlineStr">
        <is>
          <t>Year 18</t>
        </is>
      </c>
      <c r="U3" s="34" t="inlineStr">
        <is>
          <t>Year 19</t>
        </is>
      </c>
      <c r="V3" s="34" t="inlineStr">
        <is>
          <t>Year 20</t>
        </is>
      </c>
      <c r="W3" s="34" t="inlineStr">
        <is>
          <t>Year 21</t>
        </is>
      </c>
      <c r="X3" s="34" t="inlineStr">
        <is>
          <t>Year 22</t>
        </is>
      </c>
      <c r="Y3" s="34" t="inlineStr">
        <is>
          <t>Year 23</t>
        </is>
      </c>
      <c r="Z3" s="34" t="inlineStr">
        <is>
          <t>Year 24</t>
        </is>
      </c>
      <c r="AA3" s="34" t="inlineStr">
        <is>
          <t>Year 25</t>
        </is>
      </c>
      <c r="AB3" s="34" t="inlineStr">
        <is>
          <t>Total ($)</t>
        </is>
      </c>
      <c r="AC3" s="34" t="inlineStr">
        <is>
          <t>NPV ($)</t>
        </is>
      </c>
    </row>
    <row r="4">
      <c r="A4" s="4" t="inlineStr">
        <is>
          <t>CUSTOMER PERSPECTIVE</t>
        </is>
      </c>
    </row>
    <row r="5">
      <c r="A5" s="35" t="inlineStr">
        <is>
          <t>Year</t>
        </is>
      </c>
      <c r="B5" s="6" t="n">
        <v>0</v>
      </c>
      <c r="C5" s="6" t="n">
        <v>1</v>
      </c>
      <c r="D5" s="6" t="n">
        <v>2</v>
      </c>
      <c r="E5" s="6" t="n">
        <v>3</v>
      </c>
      <c r="F5" s="6" t="n">
        <v>4</v>
      </c>
      <c r="G5" s="6" t="n">
        <v>5</v>
      </c>
      <c r="H5" s="6" t="n">
        <v>6</v>
      </c>
      <c r="I5" s="6" t="n">
        <v>7</v>
      </c>
      <c r="J5" s="6" t="n">
        <v>8</v>
      </c>
      <c r="K5" s="6" t="n">
        <v>9</v>
      </c>
      <c r="L5" s="6" t="n">
        <v>10</v>
      </c>
      <c r="M5" s="6" t="n">
        <v>11</v>
      </c>
      <c r="N5" s="6" t="n">
        <v>12</v>
      </c>
      <c r="O5" s="6" t="n">
        <v>13</v>
      </c>
      <c r="P5" s="6" t="n">
        <v>14</v>
      </c>
      <c r="Q5" s="6" t="n">
        <v>15</v>
      </c>
      <c r="R5" s="6" t="n">
        <v>16</v>
      </c>
      <c r="S5" s="6" t="n">
        <v>17</v>
      </c>
      <c r="T5" s="6" t="n">
        <v>18</v>
      </c>
      <c r="U5" s="6" t="n">
        <v>19</v>
      </c>
      <c r="V5" s="6" t="n">
        <v>20</v>
      </c>
      <c r="W5" s="6" t="n">
        <v>21</v>
      </c>
      <c r="X5" s="6" t="n">
        <v>22</v>
      </c>
      <c r="Y5" s="6" t="n">
        <v>23</v>
      </c>
      <c r="Z5" s="6" t="n">
        <v>24</v>
      </c>
      <c r="AA5" s="6" t="n">
        <v>25</v>
      </c>
    </row>
    <row r="6">
      <c r="A6" s="6" t="inlineStr">
        <is>
          <t>Elec. Bill (no system) ($)</t>
        </is>
      </c>
      <c r="B6" s="36" t="n">
        <v>0</v>
      </c>
      <c r="C6" s="36">
        <f>Inputs!C19</f>
        <v/>
      </c>
      <c r="D6" s="36">
        <f>C6*(1+Inputs!$C$23)</f>
        <v/>
      </c>
      <c r="E6" s="36">
        <f>D6*(1+Inputs!$C$23)</f>
        <v/>
      </c>
      <c r="F6" s="36">
        <f>E6*(1+Inputs!$C$23)</f>
        <v/>
      </c>
      <c r="G6" s="36">
        <f>F6*(1+Inputs!$C$23)</f>
        <v/>
      </c>
      <c r="H6" s="36">
        <f>G6*(1+Inputs!$C$23)</f>
        <v/>
      </c>
      <c r="I6" s="36">
        <f>H6*(1+Inputs!$C$23)</f>
        <v/>
      </c>
      <c r="J6" s="36">
        <f>I6*(1+Inputs!$C$23)</f>
        <v/>
      </c>
      <c r="K6" s="36">
        <f>J6*(1+Inputs!$C$23)</f>
        <v/>
      </c>
      <c r="L6" s="36">
        <f>K6*(1+Inputs!$C$23)</f>
        <v/>
      </c>
      <c r="M6" s="36">
        <f>L6*(1+Inputs!$C$23)</f>
        <v/>
      </c>
      <c r="N6" s="36">
        <f>M6*(1+Inputs!$C$23)</f>
        <v/>
      </c>
      <c r="O6" s="36">
        <f>N6*(1+Inputs!$C$23)</f>
        <v/>
      </c>
      <c r="P6" s="36">
        <f>O6*(1+Inputs!$C$23)</f>
        <v/>
      </c>
      <c r="Q6" s="36">
        <f>P6*(1+Inputs!$C$23)</f>
        <v/>
      </c>
      <c r="R6" s="36">
        <f>Q6*(1+Inputs!$C$23)</f>
        <v/>
      </c>
      <c r="S6" s="36">
        <f>R6*(1+Inputs!$C$23)</f>
        <v/>
      </c>
      <c r="T6" s="36">
        <f>S6*(1+Inputs!$C$23)</f>
        <v/>
      </c>
      <c r="U6" s="36">
        <f>T6*(1+Inputs!$C$23)</f>
        <v/>
      </c>
      <c r="V6" s="36">
        <f>U6*(1+Inputs!$C$23)</f>
        <v/>
      </c>
      <c r="W6" s="36">
        <f>V6*(1+Inputs!$C$23)</f>
        <v/>
      </c>
      <c r="X6" s="36">
        <f>W6*(1+Inputs!$C$23)</f>
        <v/>
      </c>
      <c r="Y6" s="36">
        <f>X6*(1+Inputs!$C$23)</f>
        <v/>
      </c>
      <c r="Z6" s="36">
        <f>Y6*(1+Inputs!$C$23)</f>
        <v/>
      </c>
      <c r="AA6" s="36">
        <f>Z6*(1+Inputs!$C$23)</f>
        <v/>
      </c>
      <c r="AB6" s="36">
        <f>SUM(C6:AA6)</f>
        <v/>
      </c>
      <c r="AC6" s="36">
        <f>C6/(1+Inputs!$C$24)^1+D6/(1+Inputs!$C$24)^2+E6/(1+Inputs!$C$24)^3+F6/(1+Inputs!$C$24)^4+G6/(1+Inputs!$C$24)^5+H6/(1+Inputs!$C$24)^6+I6/(1+Inputs!$C$24)^7+J6/(1+Inputs!$C$24)^8+K6/(1+Inputs!$C$24)^9+L6/(1+Inputs!$C$24)^10+M6/(1+Inputs!$C$24)^11+N6/(1+Inputs!$C$24)^12+O6/(1+Inputs!$C$24)^13+P6/(1+Inputs!$C$24)^14+Q6/(1+Inputs!$C$24)^15+R6/(1+Inputs!$C$24)^16+S6/(1+Inputs!$C$24)^17+T6/(1+Inputs!$C$24)^18+U6/(1+Inputs!$C$24)^19+V6/(1+Inputs!$C$24)^20+W6/(1+Inputs!$C$24)^21+X6/(1+Inputs!$C$24)^22+Y6/(1+Inputs!$C$24)^23+Z6/(1+Inputs!$C$24)^24+AA6/(1+Inputs!$C$24)^25</f>
        <v/>
      </c>
    </row>
    <row r="7">
      <c r="A7" s="6" t="inlineStr">
        <is>
          <t>Elec. Bill (with system) ($)</t>
        </is>
      </c>
      <c r="B7" s="36" t="n">
        <v>0</v>
      </c>
      <c r="C7" s="36">
        <f>Inputs!C20</f>
        <v/>
      </c>
      <c r="D7" s="36">
        <f>C7*(1+Inputs!$C$23)</f>
        <v/>
      </c>
      <c r="E7" s="36">
        <f>D7*(1+Inputs!$C$23)</f>
        <v/>
      </c>
      <c r="F7" s="36">
        <f>E7*(1+Inputs!$C$23)</f>
        <v/>
      </c>
      <c r="G7" s="36">
        <f>F7*(1+Inputs!$C$23)</f>
        <v/>
      </c>
      <c r="H7" s="36">
        <f>G7*(1+Inputs!$C$23)</f>
        <v/>
      </c>
      <c r="I7" s="36">
        <f>H7*(1+Inputs!$C$23)</f>
        <v/>
      </c>
      <c r="J7" s="36">
        <f>I7*(1+Inputs!$C$23)</f>
        <v/>
      </c>
      <c r="K7" s="36">
        <f>J7*(1+Inputs!$C$23)</f>
        <v/>
      </c>
      <c r="L7" s="36">
        <f>K7*(1+Inputs!$C$23)</f>
        <v/>
      </c>
      <c r="M7" s="36">
        <f>L7*(1+Inputs!$C$23)</f>
        <v/>
      </c>
      <c r="N7" s="36">
        <f>M7*(1+Inputs!$C$23)</f>
        <v/>
      </c>
      <c r="O7" s="36">
        <f>N7*(1+Inputs!$C$23)</f>
        <v/>
      </c>
      <c r="P7" s="36">
        <f>O7*(1+Inputs!$C$23)</f>
        <v/>
      </c>
      <c r="Q7" s="36">
        <f>P7*(1+Inputs!$C$23)</f>
        <v/>
      </c>
      <c r="R7" s="36">
        <f>Q7*(1+Inputs!$C$23)</f>
        <v/>
      </c>
      <c r="S7" s="36">
        <f>R7*(1+Inputs!$C$23)</f>
        <v/>
      </c>
      <c r="T7" s="36">
        <f>S7*(1+Inputs!$C$23)</f>
        <v/>
      </c>
      <c r="U7" s="36">
        <f>T7*(1+Inputs!$C$23)</f>
        <v/>
      </c>
      <c r="V7" s="36">
        <f>U7*(1+Inputs!$C$23)</f>
        <v/>
      </c>
      <c r="W7" s="36">
        <f>V7*(1+Inputs!$C$23)</f>
        <v/>
      </c>
      <c r="X7" s="36">
        <f>W7*(1+Inputs!$C$23)</f>
        <v/>
      </c>
      <c r="Y7" s="36">
        <f>X7*(1+Inputs!$C$23)</f>
        <v/>
      </c>
      <c r="Z7" s="36">
        <f>Y7*(1+Inputs!$C$23)</f>
        <v/>
      </c>
      <c r="AA7" s="36">
        <f>Z7*(1+Inputs!$C$23)</f>
        <v/>
      </c>
      <c r="AB7" s="36">
        <f>SUM(C7:AA7)</f>
        <v/>
      </c>
      <c r="AC7" s="36">
        <f>C7/(1+Inputs!$C$24)^1+D7/(1+Inputs!$C$24)^2+E7/(1+Inputs!$C$24)^3+F7/(1+Inputs!$C$24)^4+G7/(1+Inputs!$C$24)^5+H7/(1+Inputs!$C$24)^6+I7/(1+Inputs!$C$24)^7+J7/(1+Inputs!$C$24)^8+K7/(1+Inputs!$C$24)^9+L7/(1+Inputs!$C$24)^10+M7/(1+Inputs!$C$24)^11+N7/(1+Inputs!$C$24)^12+O7/(1+Inputs!$C$24)^13+P7/(1+Inputs!$C$24)^14+Q7/(1+Inputs!$C$24)^15+R7/(1+Inputs!$C$24)^16+S7/(1+Inputs!$C$24)^17+T7/(1+Inputs!$C$24)^18+U7/(1+Inputs!$C$24)^19+V7/(1+Inputs!$C$24)^20+W7/(1+Inputs!$C$24)^21+X7/(1+Inputs!$C$24)^22+Y7/(1+Inputs!$C$24)^23+Z7/(1+Inputs!$C$24)^24+AA7/(1+Inputs!$C$24)^25</f>
        <v/>
      </c>
    </row>
    <row r="8">
      <c r="A8" s="37" t="inlineStr">
        <is>
          <t>★ Electricity Savings ($)</t>
        </is>
      </c>
      <c r="B8" s="38">
        <f>B6-B7</f>
        <v/>
      </c>
      <c r="C8" s="38">
        <f>C6-C7</f>
        <v/>
      </c>
      <c r="D8" s="38">
        <f>D6-D7</f>
        <v/>
      </c>
      <c r="E8" s="38">
        <f>E6-E7</f>
        <v/>
      </c>
      <c r="F8" s="38">
        <f>F6-F7</f>
        <v/>
      </c>
      <c r="G8" s="38">
        <f>G6-G7</f>
        <v/>
      </c>
      <c r="H8" s="38">
        <f>H6-H7</f>
        <v/>
      </c>
      <c r="I8" s="38">
        <f>I6-I7</f>
        <v/>
      </c>
      <c r="J8" s="38">
        <f>J6-J7</f>
        <v/>
      </c>
      <c r="K8" s="38">
        <f>K6-K7</f>
        <v/>
      </c>
      <c r="L8" s="38">
        <f>L6-L7</f>
        <v/>
      </c>
      <c r="M8" s="38">
        <f>M6-M7</f>
        <v/>
      </c>
      <c r="N8" s="38">
        <f>N6-N7</f>
        <v/>
      </c>
      <c r="O8" s="38">
        <f>O6-O7</f>
        <v/>
      </c>
      <c r="P8" s="38">
        <f>P6-P7</f>
        <v/>
      </c>
      <c r="Q8" s="38">
        <f>Q6-Q7</f>
        <v/>
      </c>
      <c r="R8" s="38">
        <f>R6-R7</f>
        <v/>
      </c>
      <c r="S8" s="38">
        <f>S6-S7</f>
        <v/>
      </c>
      <c r="T8" s="38">
        <f>T6-T7</f>
        <v/>
      </c>
      <c r="U8" s="38">
        <f>U6-U7</f>
        <v/>
      </c>
      <c r="V8" s="38">
        <f>V6-V7</f>
        <v/>
      </c>
      <c r="W8" s="38">
        <f>W6-W7</f>
        <v/>
      </c>
      <c r="X8" s="38">
        <f>X6-X7</f>
        <v/>
      </c>
      <c r="Y8" s="38">
        <f>Y6-Y7</f>
        <v/>
      </c>
      <c r="Z8" s="38">
        <f>Z6-Z7</f>
        <v/>
      </c>
      <c r="AA8" s="38">
        <f>AA6-AA7</f>
        <v/>
      </c>
      <c r="AB8" s="36">
        <f>SUM(B8:AA8)</f>
        <v/>
      </c>
      <c r="AC8" s="36">
        <f>C8/(1+Inputs!$C$24)^1+D8/(1+Inputs!$C$24)^2+E8/(1+Inputs!$C$24)^3+F8/(1+Inputs!$C$24)^4+G8/(1+Inputs!$C$24)^5+H8/(1+Inputs!$C$24)^6+I8/(1+Inputs!$C$24)^7+J8/(1+Inputs!$C$24)^8+K8/(1+Inputs!$C$24)^9+L8/(1+Inputs!$C$24)^10+M8/(1+Inputs!$C$24)^11+N8/(1+Inputs!$C$24)^12+O8/(1+Inputs!$C$24)^13+P8/(1+Inputs!$C$24)^14+Q8/(1+Inputs!$C$24)^15+R8/(1+Inputs!$C$24)^16+S8/(1+Inputs!$C$24)^17+T8/(1+Inputs!$C$24)^18+U8/(1+Inputs!$C$24)^19+V8/(1+Inputs!$C$24)^20+W8/(1+Inputs!$C$24)^21+X8/(1+Inputs!$C$24)^22+Y8/(1+Inputs!$C$24)^23+Z8/(1+Inputs!$C$24)^24+AA8/(1+Inputs!$C$24)^25</f>
        <v/>
      </c>
    </row>
    <row r="9">
      <c r="A9" s="6" t="inlineStr">
        <is>
          <t>TOBF Tariff Charge ($)</t>
        </is>
      </c>
      <c r="B9" s="36" t="n">
        <v>0</v>
      </c>
      <c r="C9" s="36">
        <f>IF(C5&lt;=Inputs!$C$49,Inputs!$C$54,0)</f>
        <v/>
      </c>
      <c r="D9" s="36">
        <f>IF(D5&lt;=Inputs!$C$49,Inputs!$C$54,0)</f>
        <v/>
      </c>
      <c r="E9" s="36">
        <f>IF(E5&lt;=Inputs!$C$49,Inputs!$C$54,0)</f>
        <v/>
      </c>
      <c r="F9" s="36">
        <f>IF(F5&lt;=Inputs!$C$49,Inputs!$C$54,0)</f>
        <v/>
      </c>
      <c r="G9" s="36">
        <f>IF(G5&lt;=Inputs!$C$49,Inputs!$C$54,0)</f>
        <v/>
      </c>
      <c r="H9" s="36">
        <f>IF(H5&lt;=Inputs!$C$49,Inputs!$C$54,0)</f>
        <v/>
      </c>
      <c r="I9" s="36">
        <f>IF(I5&lt;=Inputs!$C$49,Inputs!$C$54,0)</f>
        <v/>
      </c>
      <c r="J9" s="36">
        <f>IF(J5&lt;=Inputs!$C$49,Inputs!$C$54,0)</f>
        <v/>
      </c>
      <c r="K9" s="36">
        <f>IF(K5&lt;=Inputs!$C$49,Inputs!$C$54,0)</f>
        <v/>
      </c>
      <c r="L9" s="36">
        <f>IF(L5&lt;=Inputs!$C$49,Inputs!$C$54,0)</f>
        <v/>
      </c>
      <c r="M9" s="36">
        <f>IF(M5&lt;=Inputs!$C$49,Inputs!$C$54,0)</f>
        <v/>
      </c>
      <c r="N9" s="36">
        <f>IF(N5&lt;=Inputs!$C$49,Inputs!$C$54,0)</f>
        <v/>
      </c>
      <c r="O9" s="36">
        <f>IF(O5&lt;=Inputs!$C$49,Inputs!$C$54,0)</f>
        <v/>
      </c>
      <c r="P9" s="36">
        <f>IF(P5&lt;=Inputs!$C$49,Inputs!$C$54,0)</f>
        <v/>
      </c>
      <c r="Q9" s="36">
        <f>IF(Q5&lt;=Inputs!$C$49,Inputs!$C$54,0)</f>
        <v/>
      </c>
      <c r="R9" s="36">
        <f>IF(R5&lt;=Inputs!$C$49,Inputs!$C$54,0)</f>
        <v/>
      </c>
      <c r="S9" s="36">
        <f>IF(S5&lt;=Inputs!$C$49,Inputs!$C$54,0)</f>
        <v/>
      </c>
      <c r="T9" s="36">
        <f>IF(T5&lt;=Inputs!$C$49,Inputs!$C$54,0)</f>
        <v/>
      </c>
      <c r="U9" s="36">
        <f>IF(U5&lt;=Inputs!$C$49,Inputs!$C$54,0)</f>
        <v/>
      </c>
      <c r="V9" s="36">
        <f>IF(V5&lt;=Inputs!$C$49,Inputs!$C$54,0)</f>
        <v/>
      </c>
      <c r="W9" s="36">
        <f>IF(W5&lt;=Inputs!$C$49,Inputs!$C$54,0)</f>
        <v/>
      </c>
      <c r="X9" s="36">
        <f>IF(X5&lt;=Inputs!$C$49,Inputs!$C$54,0)</f>
        <v/>
      </c>
      <c r="Y9" s="36">
        <f>IF(Y5&lt;=Inputs!$C$49,Inputs!$C$54,0)</f>
        <v/>
      </c>
      <c r="Z9" s="36">
        <f>IF(Z5&lt;=Inputs!$C$49,Inputs!$C$54,0)</f>
        <v/>
      </c>
      <c r="AA9" s="36">
        <f>IF(AA5&lt;=Inputs!$C$49,Inputs!$C$54,0)</f>
        <v/>
      </c>
      <c r="AB9" s="36">
        <f>SUM(B9:AA9)</f>
        <v/>
      </c>
      <c r="AC9" s="36">
        <f>C9/(1+Inputs!$C$24)^1+D9/(1+Inputs!$C$24)^2+E9/(1+Inputs!$C$24)^3+F9/(1+Inputs!$C$24)^4+G9/(1+Inputs!$C$24)^5+H9/(1+Inputs!$C$24)^6+I9/(1+Inputs!$C$24)^7+J9/(1+Inputs!$C$24)^8+K9/(1+Inputs!$C$24)^9+L9/(1+Inputs!$C$24)^10+M9/(1+Inputs!$C$24)^11+N9/(1+Inputs!$C$24)^12+O9/(1+Inputs!$C$24)^13+P9/(1+Inputs!$C$24)^14+Q9/(1+Inputs!$C$24)^15+R9/(1+Inputs!$C$24)^16+S9/(1+Inputs!$C$24)^17+T9/(1+Inputs!$C$24)^18+U9/(1+Inputs!$C$24)^19+V9/(1+Inputs!$C$24)^20+W9/(1+Inputs!$C$24)^21+X9/(1+Inputs!$C$24)^22+Y9/(1+Inputs!$C$24)^23+Z9/(1+Inputs!$C$24)^24+AA9/(1+Inputs!$C$24)^25</f>
        <v/>
      </c>
    </row>
    <row r="10">
      <c r="A10" s="39" t="inlineStr">
        <is>
          <t>⚡ Net Customer Impact ($)</t>
        </is>
      </c>
      <c r="B10" s="38">
        <f>B8-B9</f>
        <v/>
      </c>
      <c r="C10" s="38">
        <f>C8-C9</f>
        <v/>
      </c>
      <c r="D10" s="38">
        <f>D8-D9</f>
        <v/>
      </c>
      <c r="E10" s="38">
        <f>E8-E9</f>
        <v/>
      </c>
      <c r="F10" s="38">
        <f>F8-F9</f>
        <v/>
      </c>
      <c r="G10" s="38">
        <f>G8-G9</f>
        <v/>
      </c>
      <c r="H10" s="38">
        <f>H8-H9</f>
        <v/>
      </c>
      <c r="I10" s="38">
        <f>I8-I9</f>
        <v/>
      </c>
      <c r="J10" s="38">
        <f>J8-J9</f>
        <v/>
      </c>
      <c r="K10" s="38">
        <f>K8-K9</f>
        <v/>
      </c>
      <c r="L10" s="38">
        <f>L8-L9</f>
        <v/>
      </c>
      <c r="M10" s="38">
        <f>M8-M9</f>
        <v/>
      </c>
      <c r="N10" s="38">
        <f>N8-N9</f>
        <v/>
      </c>
      <c r="O10" s="38">
        <f>O8-O9</f>
        <v/>
      </c>
      <c r="P10" s="38">
        <f>P8-P9</f>
        <v/>
      </c>
      <c r="Q10" s="38">
        <f>Q8-Q9</f>
        <v/>
      </c>
      <c r="R10" s="38">
        <f>R8-R9</f>
        <v/>
      </c>
      <c r="S10" s="38">
        <f>S8-S9</f>
        <v/>
      </c>
      <c r="T10" s="38">
        <f>T8-T9</f>
        <v/>
      </c>
      <c r="U10" s="38">
        <f>U8-U9</f>
        <v/>
      </c>
      <c r="V10" s="38">
        <f>V8-V9</f>
        <v/>
      </c>
      <c r="W10" s="38">
        <f>W8-W9</f>
        <v/>
      </c>
      <c r="X10" s="38">
        <f>X8-X9</f>
        <v/>
      </c>
      <c r="Y10" s="38">
        <f>Y8-Y9</f>
        <v/>
      </c>
      <c r="Z10" s="38">
        <f>Z8-Z9</f>
        <v/>
      </c>
      <c r="AA10" s="38">
        <f>AA8-AA9</f>
        <v/>
      </c>
      <c r="AB10" s="38">
        <f>SUM(B10:AA10)</f>
        <v/>
      </c>
      <c r="AC10" s="38">
        <f>C10/(1+Inputs!$C$24)^1+D10/(1+Inputs!$C$24)^2+E10/(1+Inputs!$C$24)^3+F10/(1+Inputs!$C$24)^4+G10/(1+Inputs!$C$24)^5+H10/(1+Inputs!$C$24)^6+I10/(1+Inputs!$C$24)^7+J10/(1+Inputs!$C$24)^8+K10/(1+Inputs!$C$24)^9+L10/(1+Inputs!$C$24)^10+M10/(1+Inputs!$C$24)^11+N10/(1+Inputs!$C$24)^12+O10/(1+Inputs!$C$24)^13+P10/(1+Inputs!$C$24)^14+Q10/(1+Inputs!$C$24)^15+R10/(1+Inputs!$C$24)^16+S10/(1+Inputs!$C$24)^17+T10/(1+Inputs!$C$24)^18+U10/(1+Inputs!$C$24)^19+V10/(1+Inputs!$C$24)^20+W10/(1+Inputs!$C$24)^21+X10/(1+Inputs!$C$24)^22+Y10/(1+Inputs!$C$24)^23+Z10/(1+Inputs!$C$24)^24+AA10/(1+Inputs!$C$24)^25</f>
        <v/>
      </c>
    </row>
    <row r="11">
      <c r="A11" s="6" t="inlineStr">
        <is>
          <t>Monthly Net Impact ($/mo)</t>
        </is>
      </c>
      <c r="B11" s="36">
        <f>B10/12</f>
        <v/>
      </c>
      <c r="C11" s="36">
        <f>C10/12</f>
        <v/>
      </c>
      <c r="D11" s="36">
        <f>D10/12</f>
        <v/>
      </c>
      <c r="E11" s="36">
        <f>E10/12</f>
        <v/>
      </c>
      <c r="F11" s="36">
        <f>F10/12</f>
        <v/>
      </c>
      <c r="G11" s="36">
        <f>G10/12</f>
        <v/>
      </c>
      <c r="H11" s="36">
        <f>H10/12</f>
        <v/>
      </c>
      <c r="I11" s="36">
        <f>I10/12</f>
        <v/>
      </c>
      <c r="J11" s="36">
        <f>J10/12</f>
        <v/>
      </c>
      <c r="K11" s="36">
        <f>K10/12</f>
        <v/>
      </c>
      <c r="L11" s="36">
        <f>L10/12</f>
        <v/>
      </c>
      <c r="M11" s="36">
        <f>M10/12</f>
        <v/>
      </c>
      <c r="N11" s="36">
        <f>N10/12</f>
        <v/>
      </c>
      <c r="O11" s="36">
        <f>O10/12</f>
        <v/>
      </c>
      <c r="P11" s="36">
        <f>P10/12</f>
        <v/>
      </c>
      <c r="Q11" s="36">
        <f>Q10/12</f>
        <v/>
      </c>
      <c r="R11" s="36">
        <f>R10/12</f>
        <v/>
      </c>
      <c r="S11" s="36">
        <f>S10/12</f>
        <v/>
      </c>
      <c r="T11" s="36">
        <f>T10/12</f>
        <v/>
      </c>
      <c r="U11" s="36">
        <f>U10/12</f>
        <v/>
      </c>
      <c r="V11" s="36">
        <f>V10/12</f>
        <v/>
      </c>
      <c r="W11" s="36">
        <f>W10/12</f>
        <v/>
      </c>
      <c r="X11" s="36">
        <f>X10/12</f>
        <v/>
      </c>
      <c r="Y11" s="36">
        <f>Y10/12</f>
        <v/>
      </c>
      <c r="Z11" s="36">
        <f>Z10/12</f>
        <v/>
      </c>
      <c r="AA11" s="36">
        <f>AA10/12</f>
        <v/>
      </c>
    </row>
    <row r="12">
      <c r="A12" s="6" t="inlineStr">
        <is>
          <t>Tariff/Savings Ratio</t>
        </is>
      </c>
      <c r="B12" s="40" t="inlineStr"/>
      <c r="C12" s="41">
        <f>IF(C8&gt;0,C9/C8,0)</f>
        <v/>
      </c>
      <c r="D12" s="41">
        <f>IF(D8&gt;0,D9/D8,0)</f>
        <v/>
      </c>
      <c r="E12" s="41">
        <f>IF(E8&gt;0,E9/E8,0)</f>
        <v/>
      </c>
      <c r="F12" s="41">
        <f>IF(F8&gt;0,F9/F8,0)</f>
        <v/>
      </c>
      <c r="G12" s="41">
        <f>IF(G8&gt;0,G9/G8,0)</f>
        <v/>
      </c>
      <c r="H12" s="41">
        <f>IF(H8&gt;0,H9/H8,0)</f>
        <v/>
      </c>
      <c r="I12" s="41">
        <f>IF(I8&gt;0,I9/I8,0)</f>
        <v/>
      </c>
      <c r="J12" s="41">
        <f>IF(J8&gt;0,J9/J8,0)</f>
        <v/>
      </c>
      <c r="K12" s="41">
        <f>IF(K8&gt;0,K9/K8,0)</f>
        <v/>
      </c>
      <c r="L12" s="41">
        <f>IF(L8&gt;0,L9/L8,0)</f>
        <v/>
      </c>
      <c r="M12" s="41">
        <f>IF(M8&gt;0,M9/M8,0)</f>
        <v/>
      </c>
      <c r="N12" s="41">
        <f>IF(N8&gt;0,N9/N8,0)</f>
        <v/>
      </c>
      <c r="O12" s="41">
        <f>IF(O8&gt;0,O9/O8,0)</f>
        <v/>
      </c>
      <c r="P12" s="41">
        <f>IF(P8&gt;0,P9/P8,0)</f>
        <v/>
      </c>
      <c r="Q12" s="41">
        <f>IF(Q8&gt;0,Q9/Q8,0)</f>
        <v/>
      </c>
      <c r="R12" s="41">
        <f>IF(R8&gt;0,R9/R8,0)</f>
        <v/>
      </c>
      <c r="S12" s="41">
        <f>IF(S8&gt;0,S9/S8,0)</f>
        <v/>
      </c>
      <c r="T12" s="41">
        <f>IF(T8&gt;0,T9/T8,0)</f>
        <v/>
      </c>
      <c r="U12" s="41">
        <f>IF(U8&gt;0,U9/U8,0)</f>
        <v/>
      </c>
      <c r="V12" s="41">
        <f>IF(V8&gt;0,V9/V8,0)</f>
        <v/>
      </c>
      <c r="W12" s="41">
        <f>IF(W8&gt;0,W9/W8,0)</f>
        <v/>
      </c>
      <c r="X12" s="41">
        <f>IF(X8&gt;0,X9/X8,0)</f>
        <v/>
      </c>
      <c r="Y12" s="41">
        <f>IF(Y8&gt;0,Y9/Y8,0)</f>
        <v/>
      </c>
      <c r="Z12" s="41">
        <f>IF(Z8&gt;0,Z9/Z8,0)</f>
        <v/>
      </c>
      <c r="AA12" s="41">
        <f>IF(AA8&gt;0,AA9/AA8,0)</f>
        <v/>
      </c>
    </row>
    <row r="13">
      <c r="A13" s="37" t="inlineStr">
        <is>
          <t>Cumulative Net Impact ($)</t>
        </is>
      </c>
      <c r="B13" s="36">
        <f>B10</f>
        <v/>
      </c>
      <c r="C13" s="36">
        <f>B13+C10</f>
        <v/>
      </c>
      <c r="D13" s="36">
        <f>C13+D10</f>
        <v/>
      </c>
      <c r="E13" s="36">
        <f>D13+E10</f>
        <v/>
      </c>
      <c r="F13" s="36">
        <f>E13+F10</f>
        <v/>
      </c>
      <c r="G13" s="36">
        <f>F13+G10</f>
        <v/>
      </c>
      <c r="H13" s="36">
        <f>G13+H10</f>
        <v/>
      </c>
      <c r="I13" s="36">
        <f>H13+I10</f>
        <v/>
      </c>
      <c r="J13" s="36">
        <f>I13+J10</f>
        <v/>
      </c>
      <c r="K13" s="36">
        <f>J13+K10</f>
        <v/>
      </c>
      <c r="L13" s="36">
        <f>K13+L10</f>
        <v/>
      </c>
      <c r="M13" s="36">
        <f>L13+M10</f>
        <v/>
      </c>
      <c r="N13" s="36">
        <f>M13+N10</f>
        <v/>
      </c>
      <c r="O13" s="36">
        <f>N13+O10</f>
        <v/>
      </c>
      <c r="P13" s="36">
        <f>O13+P10</f>
        <v/>
      </c>
      <c r="Q13" s="36">
        <f>P13+Q10</f>
        <v/>
      </c>
      <c r="R13" s="36">
        <f>Q13+R10</f>
        <v/>
      </c>
      <c r="S13" s="36">
        <f>R13+S10</f>
        <v/>
      </c>
      <c r="T13" s="36">
        <f>S13+T10</f>
        <v/>
      </c>
      <c r="U13" s="36">
        <f>T13+U10</f>
        <v/>
      </c>
      <c r="V13" s="36">
        <f>U13+V10</f>
        <v/>
      </c>
      <c r="W13" s="36">
        <f>V13+W10</f>
        <v/>
      </c>
      <c r="X13" s="36">
        <f>W13+X10</f>
        <v/>
      </c>
      <c r="Y13" s="36">
        <f>X13+Y10</f>
        <v/>
      </c>
      <c r="Z13" s="36">
        <f>Y13+Z10</f>
        <v/>
      </c>
      <c r="AA13" s="36">
        <f>Z13+AA10</f>
        <v/>
      </c>
    </row>
    <row r="15">
      <c r="A15" s="4" t="inlineStr">
        <is>
          <t>UTILITY PERSPECTIVE</t>
        </is>
      </c>
    </row>
    <row r="16">
      <c r="A16" s="6" t="inlineStr">
        <is>
          <t>Utility Investment ($)</t>
        </is>
      </c>
      <c r="B16" s="36">
        <f>-(Inputs!C12+Inputs!C42+Inputs!C44)</f>
        <v/>
      </c>
      <c r="C16" s="47">
        <f>IF(C5=Inputs!$C$74,-Inputs!$C$75,0)</f>
        <v/>
      </c>
      <c r="D16" s="47">
        <f>IF(D5=Inputs!$C$74,-Inputs!$C$75,0)</f>
        <v/>
      </c>
      <c r="E16" s="47">
        <f>IF(E5=Inputs!$C$74,-Inputs!$C$75,0)</f>
        <v/>
      </c>
      <c r="F16" s="47">
        <f>IF(F5=Inputs!$C$74,-Inputs!$C$75,0)</f>
        <v/>
      </c>
      <c r="G16" s="47">
        <f>IF(G5=Inputs!$C$74,-Inputs!$C$75,0)</f>
        <v/>
      </c>
      <c r="H16" s="47">
        <f>IF(H5=Inputs!$C$74,-Inputs!$C$75,0)</f>
        <v/>
      </c>
      <c r="I16" s="47">
        <f>IF(I5=Inputs!$C$74,-Inputs!$C$75,0)</f>
        <v/>
      </c>
      <c r="J16" s="47">
        <f>IF(J5=Inputs!$C$74,-Inputs!$C$75,0)</f>
        <v/>
      </c>
      <c r="K16" s="47">
        <f>IF(K5=Inputs!$C$74,-Inputs!$C$75,0)</f>
        <v/>
      </c>
      <c r="L16" s="47">
        <f>IF(L5=Inputs!$C$74,-Inputs!$C$75,0)</f>
        <v/>
      </c>
      <c r="M16" s="47">
        <f>IF(M5=Inputs!$C$74,-Inputs!$C$75,0)</f>
        <v/>
      </c>
      <c r="N16" s="47">
        <f>IF(N5=Inputs!$C$74,-Inputs!$C$75,0)</f>
        <v/>
      </c>
      <c r="O16" s="47">
        <f>IF(O5=Inputs!$C$74,-Inputs!$C$75,0)</f>
        <v/>
      </c>
      <c r="P16" s="47">
        <f>IF(P5=Inputs!$C$74,-Inputs!$C$75,0)</f>
        <v/>
      </c>
      <c r="Q16" s="47">
        <f>IF(Q5=Inputs!$C$74,-Inputs!$C$75,0)</f>
        <v/>
      </c>
      <c r="R16" s="47">
        <f>IF(R5=Inputs!$C$74,-Inputs!$C$75,0)</f>
        <v/>
      </c>
      <c r="S16" s="47">
        <f>IF(S5=Inputs!$C$74,-Inputs!$C$75,0)</f>
        <v/>
      </c>
      <c r="T16" s="47">
        <f>IF(T5=Inputs!$C$74,-Inputs!$C$75,0)</f>
        <v/>
      </c>
      <c r="U16" s="47">
        <f>IF(U5=Inputs!$C$74,-Inputs!$C$75,0)</f>
        <v/>
      </c>
      <c r="V16" s="47">
        <f>IF(V5=Inputs!$C$74,-Inputs!$C$75,0)</f>
        <v/>
      </c>
      <c r="W16" s="47">
        <f>IF(W5=Inputs!$C$74,-Inputs!$C$75,0)</f>
        <v/>
      </c>
      <c r="X16" s="47">
        <f>IF(X5=Inputs!$C$74,-Inputs!$C$75,0)</f>
        <v/>
      </c>
      <c r="Y16" s="47">
        <f>IF(Y5=Inputs!$C$74,-Inputs!$C$75,0)</f>
        <v/>
      </c>
      <c r="Z16" s="47">
        <f>IF(Z5=Inputs!$C$74,-Inputs!$C$75,0)</f>
        <v/>
      </c>
      <c r="AA16" s="47">
        <f>IF(AA5=Inputs!$C$74,-Inputs!$C$75,0)</f>
        <v/>
      </c>
      <c r="AB16" s="47">
        <f>SUM(B16:AA16)</f>
        <v/>
      </c>
      <c r="AC16" s="47">
        <f>B16+C16/(1+Inputs!$C$32)^1+D16/(1+Inputs!$C$32)^2+E16/(1+Inputs!$C$32)^3+F16/(1+Inputs!$C$32)^4+G16/(1+Inputs!$C$32)^5+H16/(1+Inputs!$C$32)^6+I16/(1+Inputs!$C$32)^7+J16/(1+Inputs!$C$32)^8+K16/(1+Inputs!$C$32)^9+L16/(1+Inputs!$C$32)^10+M16/(1+Inputs!$C$32)^11+N16/(1+Inputs!$C$32)^12+O16/(1+Inputs!$C$32)^13+P16/(1+Inputs!$C$32)^14+Q16/(1+Inputs!$C$32)^15+R16/(1+Inputs!$C$32)^16+S16/(1+Inputs!$C$32)^17+T16/(1+Inputs!$C$32)^18+U16/(1+Inputs!$C$32)^19+V16/(1+Inputs!$C$32)^20+W16/(1+Inputs!$C$32)^21+X16/(1+Inputs!$C$32)^22+Y16/(1+Inputs!$C$32)^23+Z16/(1+Inputs!$C$32)^24+AA16/(1+Inputs!$C$32)^25</f>
        <v/>
      </c>
    </row>
    <row r="17">
      <c r="A17" s="6" t="inlineStr">
        <is>
          <t>Tariff Revenue ($)</t>
        </is>
      </c>
      <c r="B17" s="36" t="n">
        <v>0</v>
      </c>
      <c r="C17" s="36">
        <f>C9</f>
        <v/>
      </c>
      <c r="D17" s="36">
        <f>D9</f>
        <v/>
      </c>
      <c r="E17" s="36">
        <f>E9</f>
        <v/>
      </c>
      <c r="F17" s="36">
        <f>F9</f>
        <v/>
      </c>
      <c r="G17" s="36">
        <f>G9</f>
        <v/>
      </c>
      <c r="H17" s="36">
        <f>H9</f>
        <v/>
      </c>
      <c r="I17" s="36">
        <f>I9</f>
        <v/>
      </c>
      <c r="J17" s="36">
        <f>J9</f>
        <v/>
      </c>
      <c r="K17" s="36">
        <f>K9</f>
        <v/>
      </c>
      <c r="L17" s="36">
        <f>L9</f>
        <v/>
      </c>
      <c r="M17" s="36">
        <f>M9</f>
        <v/>
      </c>
      <c r="N17" s="36">
        <f>N9</f>
        <v/>
      </c>
      <c r="O17" s="36">
        <f>O9</f>
        <v/>
      </c>
      <c r="P17" s="36">
        <f>P9</f>
        <v/>
      </c>
      <c r="Q17" s="36">
        <f>Q9</f>
        <v/>
      </c>
      <c r="R17" s="36">
        <f>R9</f>
        <v/>
      </c>
      <c r="S17" s="36">
        <f>S9</f>
        <v/>
      </c>
      <c r="T17" s="36">
        <f>T9</f>
        <v/>
      </c>
      <c r="U17" s="36">
        <f>U9</f>
        <v/>
      </c>
      <c r="V17" s="36">
        <f>V9</f>
        <v/>
      </c>
      <c r="W17" s="36">
        <f>W9</f>
        <v/>
      </c>
      <c r="X17" s="36">
        <f>X9</f>
        <v/>
      </c>
      <c r="Y17" s="36">
        <f>Y9</f>
        <v/>
      </c>
      <c r="Z17" s="36">
        <f>Z9</f>
        <v/>
      </c>
      <c r="AA17" s="36">
        <f>AA9</f>
        <v/>
      </c>
      <c r="AB17" s="36">
        <f>SUM(C17:AA17)</f>
        <v/>
      </c>
      <c r="AC17" s="36">
        <f>C17/(1+Inputs!$C$32)^1+D17/(1+Inputs!$C$32)^2+E17/(1+Inputs!$C$32)^3+F17/(1+Inputs!$C$32)^4+G17/(1+Inputs!$C$32)^5+H17/(1+Inputs!$C$32)^6+I17/(1+Inputs!$C$32)^7+J17/(1+Inputs!$C$32)^8+K17/(1+Inputs!$C$32)^9+L17/(1+Inputs!$C$32)^10+M17/(1+Inputs!$C$32)^11+N17/(1+Inputs!$C$32)^12+O17/(1+Inputs!$C$32)^13+P17/(1+Inputs!$C$32)^14+Q17/(1+Inputs!$C$32)^15+R17/(1+Inputs!$C$32)^16+S17/(1+Inputs!$C$32)^17+T17/(1+Inputs!$C$32)^18+U17/(1+Inputs!$C$32)^19+V17/(1+Inputs!$C$32)^20+W17/(1+Inputs!$C$32)^21+X17/(1+Inputs!$C$32)^22+Y17/(1+Inputs!$C$32)^23+Z17/(1+Inputs!$C$32)^24+AA17/(1+Inputs!$C$32)^25</f>
        <v/>
      </c>
    </row>
    <row r="18">
      <c r="A18" s="6" t="inlineStr">
        <is>
          <t>Avoided Costs ($)</t>
        </is>
      </c>
      <c r="B18" s="36" t="n">
        <v>0</v>
      </c>
      <c r="C18" s="36">
        <f>Inputs!C39</f>
        <v/>
      </c>
      <c r="D18" s="36">
        <f>C18*(1+Inputs!$C$38)*(1-Inputs!$C$14)</f>
        <v/>
      </c>
      <c r="E18" s="36">
        <f>D18*(1+Inputs!$C$38)*(1-Inputs!$C$14)</f>
        <v/>
      </c>
      <c r="F18" s="36">
        <f>E18*(1+Inputs!$C$38)*(1-Inputs!$C$14)</f>
        <v/>
      </c>
      <c r="G18" s="36">
        <f>F18*(1+Inputs!$C$38)*(1-Inputs!$C$14)</f>
        <v/>
      </c>
      <c r="H18" s="36">
        <f>G18*(1+Inputs!$C$38)*(1-Inputs!$C$14)</f>
        <v/>
      </c>
      <c r="I18" s="36">
        <f>H18*(1+Inputs!$C$38)*(1-Inputs!$C$14)</f>
        <v/>
      </c>
      <c r="J18" s="36">
        <f>I18*(1+Inputs!$C$38)*(1-Inputs!$C$14)</f>
        <v/>
      </c>
      <c r="K18" s="36">
        <f>J18*(1+Inputs!$C$38)*(1-Inputs!$C$14)</f>
        <v/>
      </c>
      <c r="L18" s="36">
        <f>K18*(1+Inputs!$C$38)*(1-Inputs!$C$14)</f>
        <v/>
      </c>
      <c r="M18" s="36">
        <f>L18*(1+Inputs!$C$38)*(1-Inputs!$C$14)</f>
        <v/>
      </c>
      <c r="N18" s="36">
        <f>M18*(1+Inputs!$C$38)*(1-Inputs!$C$14)</f>
        <v/>
      </c>
      <c r="O18" s="36">
        <f>N18*(1+Inputs!$C$38)*(1-Inputs!$C$14)</f>
        <v/>
      </c>
      <c r="P18" s="36">
        <f>O18*(1+Inputs!$C$38)*(1-Inputs!$C$14)</f>
        <v/>
      </c>
      <c r="Q18" s="36">
        <f>P18*(1+Inputs!$C$38)*(1-Inputs!$C$14)</f>
        <v/>
      </c>
      <c r="R18" s="36">
        <f>Q18*(1+Inputs!$C$38)*(1-Inputs!$C$14)</f>
        <v/>
      </c>
      <c r="S18" s="36">
        <f>R18*(1+Inputs!$C$38)*(1-Inputs!$C$14)</f>
        <v/>
      </c>
      <c r="T18" s="36">
        <f>S18*(1+Inputs!$C$38)*(1-Inputs!$C$14)</f>
        <v/>
      </c>
      <c r="U18" s="36">
        <f>T18*(1+Inputs!$C$38)*(1-Inputs!$C$14)</f>
        <v/>
      </c>
      <c r="V18" s="36">
        <f>U18*(1+Inputs!$C$38)*(1-Inputs!$C$14)</f>
        <v/>
      </c>
      <c r="W18" s="36">
        <f>V18*(1+Inputs!$C$38)*(1-Inputs!$C$14)</f>
        <v/>
      </c>
      <c r="X18" s="36">
        <f>W18*(1+Inputs!$C$38)*(1-Inputs!$C$14)</f>
        <v/>
      </c>
      <c r="Y18" s="36">
        <f>X18*(1+Inputs!$C$38)*(1-Inputs!$C$14)</f>
        <v/>
      </c>
      <c r="Z18" s="36">
        <f>Y18*(1+Inputs!$C$38)*(1-Inputs!$C$14)</f>
        <v/>
      </c>
      <c r="AA18" s="36">
        <f>Z18*(1+Inputs!$C$38)*(1-Inputs!$C$14)</f>
        <v/>
      </c>
      <c r="AB18" s="36">
        <f>SUM(C18:AA18)</f>
        <v/>
      </c>
      <c r="AC18" s="36">
        <f>C18/(1+Inputs!$C$32)^1+D18/(1+Inputs!$C$32)^2+E18/(1+Inputs!$C$32)^3+F18/(1+Inputs!$C$32)^4+G18/(1+Inputs!$C$32)^5+H18/(1+Inputs!$C$32)^6+I18/(1+Inputs!$C$32)^7+J18/(1+Inputs!$C$32)^8+K18/(1+Inputs!$C$32)^9+L18/(1+Inputs!$C$32)^10+M18/(1+Inputs!$C$32)^11+N18/(1+Inputs!$C$32)^12+O18/(1+Inputs!$C$32)^13+P18/(1+Inputs!$C$32)^14+Q18/(1+Inputs!$C$32)^15+R18/(1+Inputs!$C$32)^16+S18/(1+Inputs!$C$32)^17+T18/(1+Inputs!$C$32)^18+U18/(1+Inputs!$C$32)^19+V18/(1+Inputs!$C$32)^20+W18/(1+Inputs!$C$32)^21+X18/(1+Inputs!$C$32)^22+Y18/(1+Inputs!$C$32)^23+Z18/(1+Inputs!$C$32)^24+AA18/(1+Inputs!$C$32)^25</f>
        <v/>
      </c>
    </row>
    <row r="19">
      <c r="A19" s="6" t="inlineStr">
        <is>
          <t>Lost Retail Revenue ($)</t>
        </is>
      </c>
      <c r="B19" s="36">
        <f>-B8</f>
        <v/>
      </c>
      <c r="C19" s="36">
        <f>-C8</f>
        <v/>
      </c>
      <c r="D19" s="36">
        <f>-D8</f>
        <v/>
      </c>
      <c r="E19" s="36">
        <f>-E8</f>
        <v/>
      </c>
      <c r="F19" s="36">
        <f>-F8</f>
        <v/>
      </c>
      <c r="G19" s="36">
        <f>-G8</f>
        <v/>
      </c>
      <c r="H19" s="36">
        <f>-H8</f>
        <v/>
      </c>
      <c r="I19" s="36">
        <f>-I8</f>
        <v/>
      </c>
      <c r="J19" s="36">
        <f>-J8</f>
        <v/>
      </c>
      <c r="K19" s="36">
        <f>-K8</f>
        <v/>
      </c>
      <c r="L19" s="36">
        <f>-L8</f>
        <v/>
      </c>
      <c r="M19" s="36">
        <f>-M8</f>
        <v/>
      </c>
      <c r="N19" s="36">
        <f>-N8</f>
        <v/>
      </c>
      <c r="O19" s="36">
        <f>-O8</f>
        <v/>
      </c>
      <c r="P19" s="36">
        <f>-P8</f>
        <v/>
      </c>
      <c r="Q19" s="36">
        <f>-Q8</f>
        <v/>
      </c>
      <c r="R19" s="36">
        <f>-R8</f>
        <v/>
      </c>
      <c r="S19" s="36">
        <f>-S8</f>
        <v/>
      </c>
      <c r="T19" s="36">
        <f>-T8</f>
        <v/>
      </c>
      <c r="U19" s="36">
        <f>-U8</f>
        <v/>
      </c>
      <c r="V19" s="36">
        <f>-V8</f>
        <v/>
      </c>
      <c r="W19" s="36">
        <f>-W8</f>
        <v/>
      </c>
      <c r="X19" s="36">
        <f>-X8</f>
        <v/>
      </c>
      <c r="Y19" s="36">
        <f>-Y8</f>
        <v/>
      </c>
      <c r="Z19" s="36">
        <f>-Z8</f>
        <v/>
      </c>
      <c r="AA19" s="36">
        <f>-AA8</f>
        <v/>
      </c>
      <c r="AB19" s="36">
        <f>SUM(B19:AA19)</f>
        <v/>
      </c>
      <c r="AC19" s="36">
        <f>C19/(1+Inputs!$C$32)^1+D19/(1+Inputs!$C$32)^2+E19/(1+Inputs!$C$32)^3+F19/(1+Inputs!$C$32)^4+G19/(1+Inputs!$C$32)^5+H19/(1+Inputs!$C$32)^6+I19/(1+Inputs!$C$32)^7+J19/(1+Inputs!$C$32)^8+K19/(1+Inputs!$C$32)^9+L19/(1+Inputs!$C$32)^10+M19/(1+Inputs!$C$32)^11+N19/(1+Inputs!$C$32)^12+O19/(1+Inputs!$C$32)^13+P19/(1+Inputs!$C$32)^14+Q19/(1+Inputs!$C$32)^15+R19/(1+Inputs!$C$32)^16+S19/(1+Inputs!$C$32)^17+T19/(1+Inputs!$C$32)^18+U19/(1+Inputs!$C$32)^19+V19/(1+Inputs!$C$32)^20+W19/(1+Inputs!$C$32)^21+X19/(1+Inputs!$C$32)^22+Y19/(1+Inputs!$C$32)^23+Z19/(1+Inputs!$C$32)^24+AA19/(1+Inputs!$C$32)^25</f>
        <v/>
      </c>
    </row>
    <row r="20">
      <c r="A20" s="42" t="inlineStr">
        <is>
          <t>⚡ Utility Net Cash Flow ($)</t>
        </is>
      </c>
      <c r="B20" s="43">
        <f>B16+B17+B18+B19</f>
        <v/>
      </c>
      <c r="C20" s="43">
        <f>C16+C17+C18+C19</f>
        <v/>
      </c>
      <c r="D20" s="43">
        <f>D16+D17+D18+D19</f>
        <v/>
      </c>
      <c r="E20" s="43">
        <f>E16+E17+E18+E19</f>
        <v/>
      </c>
      <c r="F20" s="43">
        <f>F16+F17+F18+F19</f>
        <v/>
      </c>
      <c r="G20" s="43">
        <f>G16+G17+G18+G19</f>
        <v/>
      </c>
      <c r="H20" s="43">
        <f>H16+H17+H18+H19</f>
        <v/>
      </c>
      <c r="I20" s="43">
        <f>I16+I17+I18+I19</f>
        <v/>
      </c>
      <c r="J20" s="43">
        <f>J16+J17+J18+J19</f>
        <v/>
      </c>
      <c r="K20" s="43">
        <f>K16+K17+K18+K19</f>
        <v/>
      </c>
      <c r="L20" s="43">
        <f>L16+L17+L18+L19</f>
        <v/>
      </c>
      <c r="M20" s="43">
        <f>M16+M17+M18+M19</f>
        <v/>
      </c>
      <c r="N20" s="43">
        <f>N16+N17+N18+N19</f>
        <v/>
      </c>
      <c r="O20" s="43">
        <f>O16+O17+O18+O19</f>
        <v/>
      </c>
      <c r="P20" s="43">
        <f>P16+P17+P18+P19</f>
        <v/>
      </c>
      <c r="Q20" s="43">
        <f>Q16+Q17+Q18+Q19</f>
        <v/>
      </c>
      <c r="R20" s="43">
        <f>R16+R17+R18+R19</f>
        <v/>
      </c>
      <c r="S20" s="43">
        <f>S16+S17+S18+S19</f>
        <v/>
      </c>
      <c r="T20" s="43">
        <f>T16+T17+T18+T19</f>
        <v/>
      </c>
      <c r="U20" s="43">
        <f>U16+U17+U18+U19</f>
        <v/>
      </c>
      <c r="V20" s="43">
        <f>V16+V17+V18+V19</f>
        <v/>
      </c>
      <c r="W20" s="43">
        <f>W16+W17+W18+W19</f>
        <v/>
      </c>
      <c r="X20" s="43">
        <f>X16+X17+X18+X19</f>
        <v/>
      </c>
      <c r="Y20" s="43">
        <f>Y16+Y17+Y18+Y19</f>
        <v/>
      </c>
      <c r="Z20" s="43">
        <f>Z16+Z17+Z18+Z19</f>
        <v/>
      </c>
      <c r="AA20" s="43">
        <f>AA16+AA17+AA18+AA19</f>
        <v/>
      </c>
      <c r="AB20" s="43">
        <f>SUM(B20:AA20)</f>
        <v/>
      </c>
      <c r="AC20" s="43">
        <f>B20+C20/(1+Inputs!$C$32)^1+D20/(1+Inputs!$C$32)^2+E20/(1+Inputs!$C$32)^3+F20/(1+Inputs!$C$32)^4+G20/(1+Inputs!$C$32)^5+H20/(1+Inputs!$C$32)^6+I20/(1+Inputs!$C$32)^7+J20/(1+Inputs!$C$32)^8+K20/(1+Inputs!$C$32)^9+L20/(1+Inputs!$C$32)^10+M20/(1+Inputs!$C$32)^11+N20/(1+Inputs!$C$32)^12+O20/(1+Inputs!$C$32)^13+P20/(1+Inputs!$C$32)^14+Q20/(1+Inputs!$C$32)^15+R20/(1+Inputs!$C$32)^16+S20/(1+Inputs!$C$32)^17+T20/(1+Inputs!$C$32)^18+U20/(1+Inputs!$C$32)^19+V20/(1+Inputs!$C$32)^20+W20/(1+Inputs!$C$32)^21+X20/(1+Inputs!$C$32)^22+Y20/(1+Inputs!$C$32)^23+Z20/(1+Inputs!$C$32)^24+AA20/(1+Inputs!$C$32)^25</f>
        <v/>
      </c>
    </row>
    <row r="21">
      <c r="A21" s="37" t="inlineStr">
        <is>
          <t>Cumulative Utility CF ($)</t>
        </is>
      </c>
      <c r="B21" s="36">
        <f>B20</f>
        <v/>
      </c>
      <c r="C21" s="36">
        <f>B21+C20</f>
        <v/>
      </c>
      <c r="D21" s="36">
        <f>C21+D20</f>
        <v/>
      </c>
      <c r="E21" s="36">
        <f>D21+E20</f>
        <v/>
      </c>
      <c r="F21" s="36">
        <f>E21+F20</f>
        <v/>
      </c>
      <c r="G21" s="36">
        <f>F21+G20</f>
        <v/>
      </c>
      <c r="H21" s="36">
        <f>G21+H20</f>
        <v/>
      </c>
      <c r="I21" s="36">
        <f>H21+I20</f>
        <v/>
      </c>
      <c r="J21" s="36">
        <f>I21+J20</f>
        <v/>
      </c>
      <c r="K21" s="36">
        <f>J21+K20</f>
        <v/>
      </c>
      <c r="L21" s="36">
        <f>K21+L20</f>
        <v/>
      </c>
      <c r="M21" s="36">
        <f>L21+M20</f>
        <v/>
      </c>
      <c r="N21" s="36">
        <f>M21+N20</f>
        <v/>
      </c>
      <c r="O21" s="36">
        <f>N21+O20</f>
        <v/>
      </c>
      <c r="P21" s="36">
        <f>O21+P20</f>
        <v/>
      </c>
      <c r="Q21" s="36">
        <f>P21+Q20</f>
        <v/>
      </c>
      <c r="R21" s="36">
        <f>Q21+R20</f>
        <v/>
      </c>
      <c r="S21" s="36">
        <f>R21+S20</f>
        <v/>
      </c>
      <c r="T21" s="36">
        <f>S21+T20</f>
        <v/>
      </c>
      <c r="U21" s="36">
        <f>T21+U20</f>
        <v/>
      </c>
      <c r="V21" s="36">
        <f>U21+V20</f>
        <v/>
      </c>
      <c r="W21" s="36">
        <f>V21+W20</f>
        <v/>
      </c>
      <c r="X21" s="36">
        <f>W21+X20</f>
        <v/>
      </c>
      <c r="Y21" s="36">
        <f>X21+Y20</f>
        <v/>
      </c>
      <c r="Z21" s="36">
        <f>Y21+Z20</f>
        <v/>
      </c>
      <c r="AA21" s="36">
        <f>Z21+AA20</f>
        <v/>
      </c>
    </row>
  </sheetData>
  <mergeCells count="3">
    <mergeCell ref="A1:AB1"/>
    <mergeCell ref="A15:AC15"/>
    <mergeCell ref="A4:A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</cols>
  <sheetData>
    <row r="1">
      <c r="A1" s="1" t="inlineStr">
        <is>
          <t>Debt Financing Cash Flow — For Comparison with TOBF</t>
        </is>
      </c>
    </row>
    <row r="3">
      <c r="A3" s="34" t="inlineStr"/>
      <c r="B3" s="34" t="inlineStr">
        <is>
          <t>Year 0</t>
        </is>
      </c>
      <c r="C3" s="34" t="inlineStr">
        <is>
          <t>Year 1</t>
        </is>
      </c>
      <c r="D3" s="34" t="inlineStr">
        <is>
          <t>Year 2</t>
        </is>
      </c>
      <c r="E3" s="34" t="inlineStr">
        <is>
          <t>Year 3</t>
        </is>
      </c>
      <c r="F3" s="34" t="inlineStr">
        <is>
          <t>Year 4</t>
        </is>
      </c>
      <c r="G3" s="34" t="inlineStr">
        <is>
          <t>Year 5</t>
        </is>
      </c>
      <c r="H3" s="34" t="inlineStr">
        <is>
          <t>Year 6</t>
        </is>
      </c>
      <c r="I3" s="34" t="inlineStr">
        <is>
          <t>Year 7</t>
        </is>
      </c>
      <c r="J3" s="34" t="inlineStr">
        <is>
          <t>Year 8</t>
        </is>
      </c>
      <c r="K3" s="34" t="inlineStr">
        <is>
          <t>Year 9</t>
        </is>
      </c>
      <c r="L3" s="34" t="inlineStr">
        <is>
          <t>Year 10</t>
        </is>
      </c>
      <c r="M3" s="34" t="inlineStr">
        <is>
          <t>Year 11</t>
        </is>
      </c>
      <c r="N3" s="34" t="inlineStr">
        <is>
          <t>Year 12</t>
        </is>
      </c>
      <c r="O3" s="34" t="inlineStr">
        <is>
          <t>Year 13</t>
        </is>
      </c>
      <c r="P3" s="34" t="inlineStr">
        <is>
          <t>Year 14</t>
        </is>
      </c>
      <c r="Q3" s="34" t="inlineStr">
        <is>
          <t>Year 15</t>
        </is>
      </c>
      <c r="R3" s="34" t="inlineStr">
        <is>
          <t>Year 16</t>
        </is>
      </c>
      <c r="S3" s="34" t="inlineStr">
        <is>
          <t>Year 17</t>
        </is>
      </c>
      <c r="T3" s="34" t="inlineStr">
        <is>
          <t>Year 18</t>
        </is>
      </c>
      <c r="U3" s="34" t="inlineStr">
        <is>
          <t>Year 19</t>
        </is>
      </c>
      <c r="V3" s="34" t="inlineStr">
        <is>
          <t>Year 20</t>
        </is>
      </c>
      <c r="W3" s="34" t="inlineStr">
        <is>
          <t>Year 21</t>
        </is>
      </c>
      <c r="X3" s="34" t="inlineStr">
        <is>
          <t>Year 22</t>
        </is>
      </c>
      <c r="Y3" s="34" t="inlineStr">
        <is>
          <t>Year 23</t>
        </is>
      </c>
      <c r="Z3" s="34" t="inlineStr">
        <is>
          <t>Year 24</t>
        </is>
      </c>
      <c r="AA3" s="34" t="inlineStr">
        <is>
          <t>Year 25</t>
        </is>
      </c>
      <c r="AB3" s="34" t="inlineStr">
        <is>
          <t>Total ($)</t>
        </is>
      </c>
      <c r="AC3" s="34" t="inlineStr">
        <is>
          <t>NPV ($)</t>
        </is>
      </c>
    </row>
    <row r="4">
      <c r="A4" s="35" t="inlineStr">
        <is>
          <t>Year</t>
        </is>
      </c>
      <c r="B4" s="40" t="n">
        <v>0</v>
      </c>
      <c r="C4" s="40" t="n">
        <v>1</v>
      </c>
      <c r="D4" s="40" t="n">
        <v>2</v>
      </c>
      <c r="E4" s="40" t="n">
        <v>3</v>
      </c>
      <c r="F4" s="40" t="n">
        <v>4</v>
      </c>
      <c r="G4" s="40" t="n">
        <v>5</v>
      </c>
      <c r="H4" s="40" t="n">
        <v>6</v>
      </c>
      <c r="I4" s="40" t="n">
        <v>7</v>
      </c>
      <c r="J4" s="40" t="n">
        <v>8</v>
      </c>
      <c r="K4" s="40" t="n">
        <v>9</v>
      </c>
      <c r="L4" s="40" t="n">
        <v>10</v>
      </c>
      <c r="M4" s="40" t="n">
        <v>11</v>
      </c>
      <c r="N4" s="40" t="n">
        <v>12</v>
      </c>
      <c r="O4" s="40" t="n">
        <v>13</v>
      </c>
      <c r="P4" s="40" t="n">
        <v>14</v>
      </c>
      <c r="Q4" s="40" t="n">
        <v>15</v>
      </c>
      <c r="R4" s="40" t="n">
        <v>16</v>
      </c>
      <c r="S4" s="40" t="n">
        <v>17</v>
      </c>
      <c r="T4" s="40" t="n">
        <v>18</v>
      </c>
      <c r="U4" s="40" t="n">
        <v>19</v>
      </c>
      <c r="V4" s="40" t="n">
        <v>20</v>
      </c>
      <c r="W4" s="40" t="n">
        <v>21</v>
      </c>
      <c r="X4" s="40" t="n">
        <v>22</v>
      </c>
      <c r="Y4" s="40" t="n">
        <v>23</v>
      </c>
      <c r="Z4" s="40" t="n">
        <v>24</v>
      </c>
      <c r="AA4" s="40" t="n">
        <v>25</v>
      </c>
    </row>
    <row r="5">
      <c r="A5" s="6" t="inlineStr">
        <is>
          <t>Debt Balance ($)</t>
        </is>
      </c>
      <c r="B5" s="36">
        <f>Inputs!C12</f>
        <v/>
      </c>
      <c r="C5" s="36">
        <f>IF(C4&lt;=Inputs!$C$67,MAX(0,B5*(1+Inputs!$C$66)-Inputs!$C$68),0)</f>
        <v/>
      </c>
      <c r="D5" s="36">
        <f>IF(D4&lt;=Inputs!$C$67,MAX(0,C5*(1+Inputs!$C$66)-Inputs!$C$68),0)</f>
        <v/>
      </c>
      <c r="E5" s="36">
        <f>IF(E4&lt;=Inputs!$C$67,MAX(0,D5*(1+Inputs!$C$66)-Inputs!$C$68),0)</f>
        <v/>
      </c>
      <c r="F5" s="36">
        <f>IF(F4&lt;=Inputs!$C$67,MAX(0,E5*(1+Inputs!$C$66)-Inputs!$C$68),0)</f>
        <v/>
      </c>
      <c r="G5" s="36">
        <f>IF(G4&lt;=Inputs!$C$67,MAX(0,F5*(1+Inputs!$C$66)-Inputs!$C$68),0)</f>
        <v/>
      </c>
      <c r="H5" s="36">
        <f>IF(H4&lt;=Inputs!$C$67,MAX(0,G5*(1+Inputs!$C$66)-Inputs!$C$68),0)</f>
        <v/>
      </c>
      <c r="I5" s="36">
        <f>IF(I4&lt;=Inputs!$C$67,MAX(0,H5*(1+Inputs!$C$66)-Inputs!$C$68),0)</f>
        <v/>
      </c>
      <c r="J5" s="36">
        <f>IF(J4&lt;=Inputs!$C$67,MAX(0,I5*(1+Inputs!$C$66)-Inputs!$C$68),0)</f>
        <v/>
      </c>
      <c r="K5" s="36">
        <f>IF(K4&lt;=Inputs!$C$67,MAX(0,J5*(1+Inputs!$C$66)-Inputs!$C$68),0)</f>
        <v/>
      </c>
      <c r="L5" s="36">
        <f>IF(L4&lt;=Inputs!$C$67,MAX(0,K5*(1+Inputs!$C$66)-Inputs!$C$68),0)</f>
        <v/>
      </c>
      <c r="M5" s="36">
        <f>IF(M4&lt;=Inputs!$C$67,MAX(0,L5*(1+Inputs!$C$66)-Inputs!$C$68),0)</f>
        <v/>
      </c>
      <c r="N5" s="36">
        <f>IF(N4&lt;=Inputs!$C$67,MAX(0,M5*(1+Inputs!$C$66)-Inputs!$C$68),0)</f>
        <v/>
      </c>
      <c r="O5" s="36">
        <f>IF(O4&lt;=Inputs!$C$67,MAX(0,N5*(1+Inputs!$C$66)-Inputs!$C$68),0)</f>
        <v/>
      </c>
      <c r="P5" s="36">
        <f>IF(P4&lt;=Inputs!$C$67,MAX(0,O5*(1+Inputs!$C$66)-Inputs!$C$68),0)</f>
        <v/>
      </c>
      <c r="Q5" s="36">
        <f>IF(Q4&lt;=Inputs!$C$67,MAX(0,P5*(1+Inputs!$C$66)-Inputs!$C$68),0)</f>
        <v/>
      </c>
      <c r="R5" s="36">
        <f>IF(R4&lt;=Inputs!$C$67,MAX(0,Q5*(1+Inputs!$C$66)-Inputs!$C$68),0)</f>
        <v/>
      </c>
      <c r="S5" s="36">
        <f>IF(S4&lt;=Inputs!$C$67,MAX(0,R5*(1+Inputs!$C$66)-Inputs!$C$68),0)</f>
        <v/>
      </c>
      <c r="T5" s="36">
        <f>IF(T4&lt;=Inputs!$C$67,MAX(0,S5*(1+Inputs!$C$66)-Inputs!$C$68),0)</f>
        <v/>
      </c>
      <c r="U5" s="36">
        <f>IF(U4&lt;=Inputs!$C$67,MAX(0,T5*(1+Inputs!$C$66)-Inputs!$C$68),0)</f>
        <v/>
      </c>
      <c r="V5" s="36">
        <f>IF(V4&lt;=Inputs!$C$67,MAX(0,U5*(1+Inputs!$C$66)-Inputs!$C$68),0)</f>
        <v/>
      </c>
      <c r="W5" s="36">
        <f>IF(W4&lt;=Inputs!$C$67,MAX(0,V5*(1+Inputs!$C$66)-Inputs!$C$68),0)</f>
        <v/>
      </c>
      <c r="X5" s="36">
        <f>IF(X4&lt;=Inputs!$C$67,MAX(0,W5*(1+Inputs!$C$66)-Inputs!$C$68),0)</f>
        <v/>
      </c>
      <c r="Y5" s="36">
        <f>IF(Y4&lt;=Inputs!$C$67,MAX(0,X5*(1+Inputs!$C$66)-Inputs!$C$68),0)</f>
        <v/>
      </c>
      <c r="Z5" s="36">
        <f>IF(Z4&lt;=Inputs!$C$67,MAX(0,Y5*(1+Inputs!$C$66)-Inputs!$C$68),0)</f>
        <v/>
      </c>
      <c r="AA5" s="36">
        <f>IF(AA4&lt;=Inputs!$C$67,MAX(0,Z5*(1+Inputs!$C$66)-Inputs!$C$68),0)</f>
        <v/>
      </c>
    </row>
    <row r="6">
      <c r="A6" s="6" t="inlineStr">
        <is>
          <t>Debt Payment ($)</t>
        </is>
      </c>
      <c r="B6" s="36" t="n">
        <v>0</v>
      </c>
      <c r="C6" s="36">
        <f>IF(C4&lt;=Inputs!$C$67,Inputs!$C$68,0)</f>
        <v/>
      </c>
      <c r="D6" s="36">
        <f>IF(D4&lt;=Inputs!$C$67,Inputs!$C$68,0)</f>
        <v/>
      </c>
      <c r="E6" s="36">
        <f>IF(E4&lt;=Inputs!$C$67,Inputs!$C$68,0)</f>
        <v/>
      </c>
      <c r="F6" s="36">
        <f>IF(F4&lt;=Inputs!$C$67,Inputs!$C$68,0)</f>
        <v/>
      </c>
      <c r="G6" s="36">
        <f>IF(G4&lt;=Inputs!$C$67,Inputs!$C$68,0)</f>
        <v/>
      </c>
      <c r="H6" s="36">
        <f>IF(H4&lt;=Inputs!$C$67,Inputs!$C$68,0)</f>
        <v/>
      </c>
      <c r="I6" s="36">
        <f>IF(I4&lt;=Inputs!$C$67,Inputs!$C$68,0)</f>
        <v/>
      </c>
      <c r="J6" s="36">
        <f>IF(J4&lt;=Inputs!$C$67,Inputs!$C$68,0)</f>
        <v/>
      </c>
      <c r="K6" s="36">
        <f>IF(K4&lt;=Inputs!$C$67,Inputs!$C$68,0)</f>
        <v/>
      </c>
      <c r="L6" s="36">
        <f>IF(L4&lt;=Inputs!$C$67,Inputs!$C$68,0)</f>
        <v/>
      </c>
      <c r="M6" s="36">
        <f>IF(M4&lt;=Inputs!$C$67,Inputs!$C$68,0)</f>
        <v/>
      </c>
      <c r="N6" s="36">
        <f>IF(N4&lt;=Inputs!$C$67,Inputs!$C$68,0)</f>
        <v/>
      </c>
      <c r="O6" s="36">
        <f>IF(O4&lt;=Inputs!$C$67,Inputs!$C$68,0)</f>
        <v/>
      </c>
      <c r="P6" s="36">
        <f>IF(P4&lt;=Inputs!$C$67,Inputs!$C$68,0)</f>
        <v/>
      </c>
      <c r="Q6" s="36">
        <f>IF(Q4&lt;=Inputs!$C$67,Inputs!$C$68,0)</f>
        <v/>
      </c>
      <c r="R6" s="36">
        <f>IF(R4&lt;=Inputs!$C$67,Inputs!$C$68,0)</f>
        <v/>
      </c>
      <c r="S6" s="36">
        <f>IF(S4&lt;=Inputs!$C$67,Inputs!$C$68,0)</f>
        <v/>
      </c>
      <c r="T6" s="36">
        <f>IF(T4&lt;=Inputs!$C$67,Inputs!$C$68,0)</f>
        <v/>
      </c>
      <c r="U6" s="36">
        <f>IF(U4&lt;=Inputs!$C$67,Inputs!$C$68,0)</f>
        <v/>
      </c>
      <c r="V6" s="36">
        <f>IF(V4&lt;=Inputs!$C$67,Inputs!$C$68,0)</f>
        <v/>
      </c>
      <c r="W6" s="36">
        <f>IF(W4&lt;=Inputs!$C$67,Inputs!$C$68,0)</f>
        <v/>
      </c>
      <c r="X6" s="36">
        <f>IF(X4&lt;=Inputs!$C$67,Inputs!$C$68,0)</f>
        <v/>
      </c>
      <c r="Y6" s="36">
        <f>IF(Y4&lt;=Inputs!$C$67,Inputs!$C$68,0)</f>
        <v/>
      </c>
      <c r="Z6" s="36">
        <f>IF(Z4&lt;=Inputs!$C$67,Inputs!$C$68,0)</f>
        <v/>
      </c>
      <c r="AA6" s="36">
        <f>IF(AA4&lt;=Inputs!$C$67,Inputs!$C$68,0)</f>
        <v/>
      </c>
      <c r="AB6" s="36">
        <f>SUM(B6:AA6)</f>
        <v/>
      </c>
    </row>
    <row r="7">
      <c r="A7" s="37" t="inlineStr">
        <is>
          <t>Electricity Savings ($)</t>
        </is>
      </c>
      <c r="B7" s="36" t="n">
        <v>0</v>
      </c>
      <c r="C7" s="36">
        <f>Inputs!C21</f>
        <v/>
      </c>
      <c r="D7" s="36">
        <f>C7*(1+Inputs!$C$23)</f>
        <v/>
      </c>
      <c r="E7" s="36">
        <f>D7*(1+Inputs!$C$23)</f>
        <v/>
      </c>
      <c r="F7" s="36">
        <f>E7*(1+Inputs!$C$23)</f>
        <v/>
      </c>
      <c r="G7" s="36">
        <f>F7*(1+Inputs!$C$23)</f>
        <v/>
      </c>
      <c r="H7" s="36">
        <f>G7*(1+Inputs!$C$23)</f>
        <v/>
      </c>
      <c r="I7" s="36">
        <f>H7*(1+Inputs!$C$23)</f>
        <v/>
      </c>
      <c r="J7" s="36">
        <f>I7*(1+Inputs!$C$23)</f>
        <v/>
      </c>
      <c r="K7" s="36">
        <f>J7*(1+Inputs!$C$23)</f>
        <v/>
      </c>
      <c r="L7" s="36">
        <f>K7*(1+Inputs!$C$23)</f>
        <v/>
      </c>
      <c r="M7" s="36">
        <f>L7*(1+Inputs!$C$23)</f>
        <v/>
      </c>
      <c r="N7" s="36">
        <f>M7*(1+Inputs!$C$23)</f>
        <v/>
      </c>
      <c r="O7" s="36">
        <f>N7*(1+Inputs!$C$23)</f>
        <v/>
      </c>
      <c r="P7" s="36">
        <f>O7*(1+Inputs!$C$23)</f>
        <v/>
      </c>
      <c r="Q7" s="36">
        <f>P7*(1+Inputs!$C$23)</f>
        <v/>
      </c>
      <c r="R7" s="36">
        <f>Q7*(1+Inputs!$C$23)</f>
        <v/>
      </c>
      <c r="S7" s="36">
        <f>R7*(1+Inputs!$C$23)</f>
        <v/>
      </c>
      <c r="T7" s="36">
        <f>S7*(1+Inputs!$C$23)</f>
        <v/>
      </c>
      <c r="U7" s="36">
        <f>T7*(1+Inputs!$C$23)</f>
        <v/>
      </c>
      <c r="V7" s="36">
        <f>U7*(1+Inputs!$C$23)</f>
        <v/>
      </c>
      <c r="W7" s="36">
        <f>V7*(1+Inputs!$C$23)</f>
        <v/>
      </c>
      <c r="X7" s="36">
        <f>W7*(1+Inputs!$C$23)</f>
        <v/>
      </c>
      <c r="Y7" s="36">
        <f>X7*(1+Inputs!$C$23)</f>
        <v/>
      </c>
      <c r="Z7" s="36">
        <f>Y7*(1+Inputs!$C$23)</f>
        <v/>
      </c>
      <c r="AA7" s="36">
        <f>Z7*(1+Inputs!$C$23)</f>
        <v/>
      </c>
      <c r="AB7" s="36">
        <f>SUM(C7:AA7)</f>
        <v/>
      </c>
    </row>
    <row r="8">
      <c r="A8" s="44" t="inlineStr">
        <is>
          <t>⚡ Net Impact: Debt ($)</t>
        </is>
      </c>
      <c r="B8" s="43">
        <f>B7-B6</f>
        <v/>
      </c>
      <c r="C8" s="43">
        <f>C7-C6</f>
        <v/>
      </c>
      <c r="D8" s="43">
        <f>D7-D6</f>
        <v/>
      </c>
      <c r="E8" s="43">
        <f>E7-E6</f>
        <v/>
      </c>
      <c r="F8" s="43">
        <f>F7-F6</f>
        <v/>
      </c>
      <c r="G8" s="43">
        <f>G7-G6</f>
        <v/>
      </c>
      <c r="H8" s="43">
        <f>H7-H6</f>
        <v/>
      </c>
      <c r="I8" s="43">
        <f>I7-I6</f>
        <v/>
      </c>
      <c r="J8" s="43">
        <f>J7-J6</f>
        <v/>
      </c>
      <c r="K8" s="43">
        <f>K7-K6</f>
        <v/>
      </c>
      <c r="L8" s="43">
        <f>L7-L6</f>
        <v/>
      </c>
      <c r="M8" s="43">
        <f>M7-M6</f>
        <v/>
      </c>
      <c r="N8" s="43">
        <f>N7-N6</f>
        <v/>
      </c>
      <c r="O8" s="43">
        <f>O7-O6</f>
        <v/>
      </c>
      <c r="P8" s="43">
        <f>P7-P6</f>
        <v/>
      </c>
      <c r="Q8" s="43">
        <f>Q7-Q6</f>
        <v/>
      </c>
      <c r="R8" s="43">
        <f>R7-R6</f>
        <v/>
      </c>
      <c r="S8" s="43">
        <f>S7-S6</f>
        <v/>
      </c>
      <c r="T8" s="43">
        <f>T7-T6</f>
        <v/>
      </c>
      <c r="U8" s="43">
        <f>U7-U6</f>
        <v/>
      </c>
      <c r="V8" s="43">
        <f>V7-V6</f>
        <v/>
      </c>
      <c r="W8" s="43">
        <f>W7-W6</f>
        <v/>
      </c>
      <c r="X8" s="43">
        <f>X7-X6</f>
        <v/>
      </c>
      <c r="Y8" s="43">
        <f>Y7-Y6</f>
        <v/>
      </c>
      <c r="Z8" s="43">
        <f>Z7-Z6</f>
        <v/>
      </c>
      <c r="AA8" s="43">
        <f>AA7-AA6</f>
        <v/>
      </c>
      <c r="AB8" s="43">
        <f>SUM(B8:AA8)</f>
        <v/>
      </c>
      <c r="AC8" s="43">
        <f>C8/(1+Inputs!$C$24)^1+D8/(1+Inputs!$C$24)^2+E8/(1+Inputs!$C$24)^3+F8/(1+Inputs!$C$24)^4+G8/(1+Inputs!$C$24)^5+H8/(1+Inputs!$C$24)^6+I8/(1+Inputs!$C$24)^7+J8/(1+Inputs!$C$24)^8+K8/(1+Inputs!$C$24)^9+L8/(1+Inputs!$C$24)^10+M8/(1+Inputs!$C$24)^11+N8/(1+Inputs!$C$24)^12+O8/(1+Inputs!$C$24)^13+P8/(1+Inputs!$C$24)^14+Q8/(1+Inputs!$C$24)^15+R8/(1+Inputs!$C$24)^16+S8/(1+Inputs!$C$24)^17+T8/(1+Inputs!$C$24)^18+U8/(1+Inputs!$C$24)^19+V8/(1+Inputs!$C$24)^20+W8/(1+Inputs!$C$24)^21+X8/(1+Inputs!$C$24)^22+Y8/(1+Inputs!$C$24)^23+Z8/(1+Inputs!$C$24)^24+AA8/(1+Inputs!$C$24)^25</f>
        <v/>
      </c>
    </row>
    <row r="9">
      <c r="A9" s="45" t="inlineStr">
        <is>
          <t>⚡ Net Impact: TOBF ($)</t>
        </is>
      </c>
      <c r="B9" s="43">
        <f>'TOBF Cash Flow'!B10</f>
        <v/>
      </c>
      <c r="C9" s="43">
        <f>'TOBF Cash Flow'!C10</f>
        <v/>
      </c>
      <c r="D9" s="43">
        <f>'TOBF Cash Flow'!D10</f>
        <v/>
      </c>
      <c r="E9" s="43">
        <f>'TOBF Cash Flow'!E10</f>
        <v/>
      </c>
      <c r="F9" s="43">
        <f>'TOBF Cash Flow'!F10</f>
        <v/>
      </c>
      <c r="G9" s="43">
        <f>'TOBF Cash Flow'!G10</f>
        <v/>
      </c>
      <c r="H9" s="43">
        <f>'TOBF Cash Flow'!H10</f>
        <v/>
      </c>
      <c r="I9" s="43">
        <f>'TOBF Cash Flow'!I10</f>
        <v/>
      </c>
      <c r="J9" s="43">
        <f>'TOBF Cash Flow'!J10</f>
        <v/>
      </c>
      <c r="K9" s="43">
        <f>'TOBF Cash Flow'!K10</f>
        <v/>
      </c>
      <c r="L9" s="43">
        <f>'TOBF Cash Flow'!L10</f>
        <v/>
      </c>
      <c r="M9" s="43">
        <f>'TOBF Cash Flow'!M10</f>
        <v/>
      </c>
      <c r="N9" s="43">
        <f>'TOBF Cash Flow'!N10</f>
        <v/>
      </c>
      <c r="O9" s="43">
        <f>'TOBF Cash Flow'!O10</f>
        <v/>
      </c>
      <c r="P9" s="43">
        <f>'TOBF Cash Flow'!P10</f>
        <v/>
      </c>
      <c r="Q9" s="43">
        <f>'TOBF Cash Flow'!Q10</f>
        <v/>
      </c>
      <c r="R9" s="43">
        <f>'TOBF Cash Flow'!R10</f>
        <v/>
      </c>
      <c r="S9" s="43">
        <f>'TOBF Cash Flow'!S10</f>
        <v/>
      </c>
      <c r="T9" s="43">
        <f>'TOBF Cash Flow'!T10</f>
        <v/>
      </c>
      <c r="U9" s="43">
        <f>'TOBF Cash Flow'!U10</f>
        <v/>
      </c>
      <c r="V9" s="43">
        <f>'TOBF Cash Flow'!V10</f>
        <v/>
      </c>
      <c r="W9" s="43">
        <f>'TOBF Cash Flow'!W10</f>
        <v/>
      </c>
      <c r="X9" s="43">
        <f>'TOBF Cash Flow'!X10</f>
        <v/>
      </c>
      <c r="Y9" s="43">
        <f>'TOBF Cash Flow'!Y10</f>
        <v/>
      </c>
      <c r="Z9" s="43">
        <f>'TOBF Cash Flow'!Z10</f>
        <v/>
      </c>
      <c r="AA9" s="43">
        <f>'TOBF Cash Flow'!AA10</f>
        <v/>
      </c>
      <c r="AB9" s="36">
        <f>SUM(B9:AA9)</f>
        <v/>
      </c>
    </row>
    <row r="10">
      <c r="A10" s="39" t="inlineStr">
        <is>
          <t>TOBF Advantage over Debt ($)</t>
        </is>
      </c>
      <c r="B10" s="36">
        <f>B9-B8</f>
        <v/>
      </c>
      <c r="C10" s="36">
        <f>C9-C8</f>
        <v/>
      </c>
      <c r="D10" s="36">
        <f>D9-D8</f>
        <v/>
      </c>
      <c r="E10" s="36">
        <f>E9-E8</f>
        <v/>
      </c>
      <c r="F10" s="36">
        <f>F9-F8</f>
        <v/>
      </c>
      <c r="G10" s="36">
        <f>G9-G8</f>
        <v/>
      </c>
      <c r="H10" s="36">
        <f>H9-H8</f>
        <v/>
      </c>
      <c r="I10" s="36">
        <f>I9-I8</f>
        <v/>
      </c>
      <c r="J10" s="36">
        <f>J9-J8</f>
        <v/>
      </c>
      <c r="K10" s="36">
        <f>K9-K8</f>
        <v/>
      </c>
      <c r="L10" s="36">
        <f>L9-L8</f>
        <v/>
      </c>
      <c r="M10" s="36">
        <f>M9-M8</f>
        <v/>
      </c>
      <c r="N10" s="36">
        <f>N9-N8</f>
        <v/>
      </c>
      <c r="O10" s="36">
        <f>O9-O8</f>
        <v/>
      </c>
      <c r="P10" s="36">
        <f>P9-P8</f>
        <v/>
      </c>
      <c r="Q10" s="36">
        <f>Q9-Q8</f>
        <v/>
      </c>
      <c r="R10" s="36">
        <f>R9-R8</f>
        <v/>
      </c>
      <c r="S10" s="36">
        <f>S9-S8</f>
        <v/>
      </c>
      <c r="T10" s="36">
        <f>T9-T8</f>
        <v/>
      </c>
      <c r="U10" s="36">
        <f>U9-U8</f>
        <v/>
      </c>
      <c r="V10" s="36">
        <f>V9-V8</f>
        <v/>
      </c>
      <c r="W10" s="36">
        <f>W9-W8</f>
        <v/>
      </c>
      <c r="X10" s="36">
        <f>X9-X8</f>
        <v/>
      </c>
      <c r="Y10" s="36">
        <f>Y9-Y8</f>
        <v/>
      </c>
      <c r="Z10" s="36">
        <f>Z9-Z8</f>
        <v/>
      </c>
      <c r="AA10" s="36">
        <f>AA9-AA8</f>
        <v/>
      </c>
      <c r="AB10" s="43">
        <f>SUM(B10:AA10)</f>
        <v/>
      </c>
    </row>
    <row r="12">
      <c r="A12" s="4" t="inlineStr">
        <is>
          <t>SUMMARY COMPARISON (all formulas, auto-update)</t>
        </is>
      </c>
    </row>
    <row r="13">
      <c r="A13" s="34" t="inlineStr">
        <is>
          <t>Metric</t>
        </is>
      </c>
      <c r="B13" s="34" t="inlineStr">
        <is>
          <t>Debt Financing</t>
        </is>
      </c>
      <c r="C13" s="34" t="inlineStr">
        <is>
          <t>TOBF</t>
        </is>
      </c>
      <c r="D13" s="34" t="inlineStr">
        <is>
          <t>Difference</t>
        </is>
      </c>
      <c r="E13" s="34" t="inlineStr">
        <is>
          <t>Notes</t>
        </is>
      </c>
    </row>
    <row r="14">
      <c r="A14" s="37" t="inlineStr">
        <is>
          <t>Financing Rate</t>
        </is>
      </c>
      <c r="B14" s="46">
        <f>Inputs!C66</f>
        <v/>
      </c>
      <c r="C14" s="46">
        <f>Inputs!C32</f>
        <v/>
      </c>
      <c r="D14" s="46">
        <f>Inputs!C32-Inputs!C66</f>
        <v/>
      </c>
    </row>
    <row r="15">
      <c r="A15" s="37" t="inlineStr">
        <is>
          <t>Term (years)</t>
        </is>
      </c>
      <c r="B15" s="47">
        <f>Inputs!C67</f>
        <v/>
      </c>
      <c r="C15" s="47">
        <f>Inputs!C49</f>
        <v/>
      </c>
      <c r="D15" s="47">
        <f>Inputs!C49-Inputs!C67</f>
        <v/>
      </c>
    </row>
    <row r="16">
      <c r="A16" s="37" t="inlineStr">
        <is>
          <t>Total Cost Financed</t>
        </is>
      </c>
      <c r="B16" s="36">
        <f>Inputs!C12</f>
        <v/>
      </c>
      <c r="C16" s="36">
        <f>Inputs!C52</f>
        <v/>
      </c>
      <c r="D16" s="36">
        <f>Inputs!C52-Inputs!C12</f>
        <v/>
      </c>
    </row>
    <row r="17">
      <c r="A17" s="37" t="inlineStr">
        <is>
          <t>Annual Payment</t>
        </is>
      </c>
      <c r="B17" s="36">
        <f>Inputs!C68</f>
        <v/>
      </c>
      <c r="C17" s="36">
        <f>Inputs!C54</f>
        <v/>
      </c>
      <c r="D17" s="36">
        <f>Inputs!C54-Inputs!C68</f>
        <v/>
      </c>
    </row>
    <row r="18">
      <c r="A18" s="37" t="inlineStr">
        <is>
          <t>Monthly Payment</t>
        </is>
      </c>
      <c r="B18" s="36">
        <f>Inputs!C69</f>
        <v/>
      </c>
      <c r="C18" s="36">
        <f>Inputs!C55</f>
        <v/>
      </c>
      <c r="D18" s="36">
        <f>Inputs!C55-Inputs!C69</f>
        <v/>
      </c>
    </row>
    <row r="19">
      <c r="A19" s="37" t="inlineStr">
        <is>
          <t>Year 1 Savings</t>
        </is>
      </c>
      <c r="B19" s="36">
        <f>Inputs!C21</f>
        <v/>
      </c>
      <c r="C19" s="36">
        <f>Inputs!C21</f>
        <v/>
      </c>
      <c r="D19" s="36">
        <f>0</f>
        <v/>
      </c>
    </row>
    <row r="20">
      <c r="A20" s="37" t="inlineStr">
        <is>
          <t>Net Monthly Y1</t>
        </is>
      </c>
      <c r="B20" s="36">
        <f>Inputs!C21/12-Inputs!C69</f>
        <v/>
      </c>
      <c r="C20" s="36">
        <f>Inputs!C59</f>
        <v/>
      </c>
      <c r="D20" s="36">
        <f>Inputs!C59-(Inputs!C21/12-Inputs!C69)</f>
        <v/>
      </c>
    </row>
  </sheetData>
  <mergeCells count="2">
    <mergeCell ref="A12:H12"/>
    <mergeCell ref="A1:A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  <col width="16" customWidth="1" min="5" max="5"/>
    <col width="55" customWidth="1" min="6" max="6"/>
  </cols>
  <sheetData>
    <row r="1">
      <c r="A1" s="1" t="inlineStr">
        <is>
          <t>Benefit-Cost Analysis — Four Standard Tests (All Formulas)</t>
        </is>
      </c>
    </row>
    <row r="3">
      <c r="A3" s="48" t="inlineStr">
        <is>
          <t>25-Year NPV Calculation Helper (Discount Rate from Inputs)</t>
        </is>
      </c>
    </row>
    <row r="4">
      <c r="A4" s="34" t="inlineStr">
        <is>
          <t>Component</t>
        </is>
      </c>
      <c r="B4" s="34" t="inlineStr">
        <is>
          <t>Year 1 Value</t>
        </is>
      </c>
      <c r="C4" s="34" t="inlineStr">
        <is>
          <t>Annual Growth</t>
        </is>
      </c>
      <c r="D4" s="34" t="inlineStr">
        <is>
          <t>Discount Rate</t>
        </is>
      </c>
      <c r="E4" s="34" t="inlineStr">
        <is>
          <t>25yr NPV</t>
        </is>
      </c>
      <c r="F4" s="34" t="inlineStr">
        <is>
          <t>Formula</t>
        </is>
      </c>
    </row>
    <row r="5">
      <c r="A5" s="6" t="inlineStr">
        <is>
          <t>Retail Savings (PCT dr)</t>
        </is>
      </c>
      <c r="B5" s="36">
        <f>Inputs!C21</f>
        <v/>
      </c>
      <c r="C5" s="46">
        <f>Inputs!C23</f>
        <v/>
      </c>
      <c r="D5" s="46">
        <f>Inputs!C62</f>
        <v/>
      </c>
      <c r="E5" s="43">
        <f>IF(D5=C5, B5*25/(1+D5), B5/(D5-C5)*(1-((1+C5)/(1+D5))^25))</f>
        <v/>
      </c>
      <c r="F5" s="3" t="inlineStr">
        <is>
          <t>Growing annuity PV formula</t>
        </is>
      </c>
    </row>
    <row r="6">
      <c r="A6" s="6" t="inlineStr">
        <is>
          <t>Retail Savings (UCT/RIM dr)</t>
        </is>
      </c>
      <c r="B6" s="36">
        <f>Inputs!C21</f>
        <v/>
      </c>
      <c r="C6" s="46">
        <f>Inputs!C23</f>
        <v/>
      </c>
      <c r="D6" s="46">
        <f>Inputs!C63</f>
        <v/>
      </c>
      <c r="E6" s="43">
        <f>IF(D6=C6, B6*25/(1+D6), B6/(D6-C6)*(1-((1+C6)/(1+D6))^25))</f>
        <v/>
      </c>
    </row>
    <row r="7">
      <c r="A7" s="6" t="inlineStr">
        <is>
          <t>Avoided Costs (SCT dr)</t>
        </is>
      </c>
      <c r="B7" s="36">
        <f>Inputs!C39</f>
        <v/>
      </c>
      <c r="C7" s="46">
        <f>Inputs!C38-Inputs!C14</f>
        <v/>
      </c>
      <c r="D7" s="46">
        <f>Inputs!C62</f>
        <v/>
      </c>
      <c r="E7" s="43">
        <f>IF(D7=C7, B7*25/(1+D7), B7/(D7-C7)*(1-((1+C7)/(1+D7))^25))</f>
        <v/>
      </c>
    </row>
    <row r="8">
      <c r="A8" s="6" t="inlineStr">
        <is>
          <t>Avoided Costs (UCT/RIM dr)</t>
        </is>
      </c>
      <c r="B8" s="36">
        <f>Inputs!C39</f>
        <v/>
      </c>
      <c r="C8" s="46">
        <f>Inputs!C38-Inputs!C14</f>
        <v/>
      </c>
      <c r="D8" s="46">
        <f>Inputs!C63</f>
        <v/>
      </c>
      <c r="E8" s="43">
        <f>IF(D8=C8, B8*25/(1+D8), B8/(D8-C8)*(1-((1+C8)/(1+D8))^25))</f>
        <v/>
      </c>
    </row>
    <row r="9">
      <c r="A9" s="6" t="inlineStr">
        <is>
          <t>Tariff Payments (PCT dr)</t>
        </is>
      </c>
      <c r="B9" s="36">
        <f>Inputs!C54</f>
        <v/>
      </c>
      <c r="C9" s="46" t="n">
        <v>0</v>
      </c>
      <c r="D9" s="46">
        <f>Inputs!C62</f>
        <v/>
      </c>
      <c r="E9" s="43">
        <f>B9*(1-(1+D9)^(-Inputs!C49))/D9</f>
        <v/>
      </c>
      <c r="F9" s="3" t="inlineStr">
        <is>
          <t>PV of annuity for recovery period</t>
        </is>
      </c>
    </row>
    <row r="10">
      <c r="A10" s="6" t="inlineStr">
        <is>
          <t>Program Costs (upfront)</t>
        </is>
      </c>
      <c r="E10" s="43">
        <f>Inputs!C42+Inputs!C44</f>
        <v/>
      </c>
      <c r="F10" s="3" t="inlineStr">
        <is>
          <t>Admin + Loss reserve (already at present value)</t>
        </is>
      </c>
    </row>
    <row r="11">
      <c r="A11" s="6" t="inlineStr">
        <is>
          <t>Total Investment (upfront)</t>
        </is>
      </c>
      <c r="E11" s="43">
        <f>Inputs!C52</f>
        <v/>
      </c>
    </row>
    <row r="13">
      <c r="A13" s="49" t="inlineStr">
        <is>
          <t>BCA TEST RESULTS</t>
        </is>
      </c>
    </row>
    <row r="14">
      <c r="A14" s="34" t="inlineStr">
        <is>
          <t>Test</t>
        </is>
      </c>
      <c r="B14" s="34" t="inlineStr">
        <is>
          <t>NPV Benefits ($)</t>
        </is>
      </c>
      <c r="C14" s="34" t="inlineStr">
        <is>
          <t>NPV Costs ($)</t>
        </is>
      </c>
      <c r="D14" s="34" t="inlineStr">
        <is>
          <t>B/C Ratio</t>
        </is>
      </c>
      <c r="E14" s="34" t="inlineStr">
        <is>
          <t>Pass (≥1.0)?</t>
        </is>
      </c>
      <c r="F14" s="34" t="inlineStr">
        <is>
          <t>What it measures</t>
        </is>
      </c>
    </row>
    <row r="15">
      <c r="A15" s="15" t="inlineStr">
        <is>
          <t>SCT (Societal)</t>
        </is>
      </c>
      <c r="B15" s="36">
        <f>E7</f>
        <v/>
      </c>
      <c r="C15" s="36">
        <f>E11</f>
        <v/>
      </c>
      <c r="D15" s="50">
        <f>IF(C15&gt;0,B15/C15,0)</f>
        <v/>
      </c>
      <c r="E15" s="15">
        <f>IF(D15&gt;=1,"YES ✅","NO ❌")</f>
        <v/>
      </c>
      <c r="F15" s="51" t="inlineStr">
        <is>
          <t>Society: avoided costs vs total investment</t>
        </is>
      </c>
    </row>
    <row r="16">
      <c r="A16" s="15" t="inlineStr">
        <is>
          <t>PCT (Participant)</t>
        </is>
      </c>
      <c r="B16" s="36">
        <f>E5</f>
        <v/>
      </c>
      <c r="C16" s="36">
        <f>E9</f>
        <v/>
      </c>
      <c r="D16" s="50">
        <f>IF(C16&gt;0,B16/C16,0)</f>
        <v/>
      </c>
      <c r="E16" s="15">
        <f>IF(D16&gt;=1,"YES ✅","NO ❌")</f>
        <v/>
      </c>
      <c r="F16" s="51" t="inlineStr">
        <is>
          <t>Customer: retail savings vs tariff payments</t>
        </is>
      </c>
    </row>
    <row r="17">
      <c r="A17" s="15" t="inlineStr">
        <is>
          <t>UCT (Utility)</t>
        </is>
      </c>
      <c r="B17" s="36">
        <f>E8</f>
        <v/>
      </c>
      <c r="C17" s="36">
        <f>E10</f>
        <v/>
      </c>
      <c r="D17" s="50">
        <f>IF(C17&gt;0,B17/C17,0)</f>
        <v/>
      </c>
      <c r="E17" s="15">
        <f>IF(D17&gt;=1,"YES ✅","NO ❌")</f>
        <v/>
      </c>
      <c r="F17" s="51" t="inlineStr">
        <is>
          <t>Utility: avoided costs vs program costs (tariff recovers investment)</t>
        </is>
      </c>
    </row>
    <row r="18">
      <c r="A18" s="15" t="inlineStr">
        <is>
          <t>RIM (Ratepayer)</t>
        </is>
      </c>
      <c r="B18" s="36">
        <f>E8</f>
        <v/>
      </c>
      <c r="C18" s="36">
        <f>E10+E6</f>
        <v/>
      </c>
      <c r="D18" s="50">
        <f>IF(C18&gt;0,B18/C18,0)</f>
        <v/>
      </c>
      <c r="E18" s="15">
        <f>IF(D18&gt;=1,"YES ✅","NO ❌")</f>
        <v/>
      </c>
      <c r="F18" s="51" t="inlineStr">
        <is>
          <t>All ratepayers: avoided costs vs program costs + lost retail revenue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20" customWidth="1" min="4" max="4"/>
    <col width="55" customWidth="1" min="5" max="5"/>
  </cols>
  <sheetData>
    <row r="1">
      <c r="A1" s="1" t="inlineStr">
        <is>
          <t>Sensitivity Analysis — Change Inputs sheet values to see all results update</t>
        </is>
      </c>
    </row>
    <row r="3">
      <c r="A3" s="52" t="inlineStr">
        <is>
          <t>LIVE DASHBOARD (linked to Inputs sheet)</t>
        </is>
      </c>
    </row>
    <row r="4">
      <c r="A4" s="34" t="inlineStr">
        <is>
          <t>Output Metric</t>
        </is>
      </c>
      <c r="B4" s="34" t="inlineStr">
        <is>
          <t>Current Value</t>
        </is>
      </c>
      <c r="C4" s="34" t="inlineStr">
        <is>
          <t>Unit</t>
        </is>
      </c>
      <c r="D4" s="34" t="inlineStr">
        <is>
          <t>Source Cell</t>
        </is>
      </c>
    </row>
    <row r="5">
      <c r="A5" s="37" t="inlineStr">
        <is>
          <t>Total System Cost</t>
        </is>
      </c>
      <c r="B5" s="53">
        <f>Inputs!C12</f>
        <v/>
      </c>
      <c r="D5" s="54" t="inlineStr">
        <is>
          <t>Inputs!C12</t>
        </is>
      </c>
    </row>
    <row r="6">
      <c r="A6" s="37" t="inlineStr">
        <is>
          <t>Total Investment</t>
        </is>
      </c>
      <c r="B6" s="53">
        <f>Inputs!C52</f>
        <v/>
      </c>
      <c r="D6" s="54" t="inlineStr">
        <is>
          <t>Inputs!C52</t>
        </is>
      </c>
    </row>
    <row r="7">
      <c r="A7" s="37" t="inlineStr">
        <is>
          <t>Monthly Tariff</t>
        </is>
      </c>
      <c r="B7" s="53">
        <f>Inputs!C55</f>
        <v/>
      </c>
      <c r="D7" s="54" t="inlineStr">
        <is>
          <t>Inputs!C55</t>
        </is>
      </c>
    </row>
    <row r="8">
      <c r="A8" s="37" t="inlineStr">
        <is>
          <t>Monthly Savings (Y1)</t>
        </is>
      </c>
      <c r="B8" s="53">
        <f>Inputs!C22</f>
        <v/>
      </c>
      <c r="D8" s="54" t="inlineStr">
        <is>
          <t>Inputs!C22</t>
        </is>
      </c>
    </row>
    <row r="9">
      <c r="A9" s="37" t="inlineStr">
        <is>
          <t>Tariff/Savings Ratio</t>
        </is>
      </c>
      <c r="B9" s="55">
        <f>Inputs!C57</f>
        <v/>
      </c>
      <c r="D9" s="54" t="inlineStr">
        <is>
          <t>Inputs!C57</t>
        </is>
      </c>
    </row>
    <row r="10">
      <c r="A10" s="37" t="inlineStr">
        <is>
          <t>PAYS® Compliant?</t>
        </is>
      </c>
      <c r="B10" s="56">
        <f>Inputs!C58</f>
        <v/>
      </c>
      <c r="D10" s="54" t="inlineStr">
        <is>
          <t>Inputs!C58</t>
        </is>
      </c>
    </row>
    <row r="11">
      <c r="A11" s="37" t="inlineStr">
        <is>
          <t>Net Monthly Impact (Y1)</t>
        </is>
      </c>
      <c r="B11" s="53">
        <f>Inputs!C59</f>
        <v/>
      </c>
      <c r="D11" s="54" t="inlineStr">
        <is>
          <t>Inputs!C59</t>
        </is>
      </c>
    </row>
    <row r="12">
      <c r="A12" s="37" t="inlineStr">
        <is>
          <t>TOBF Rate (WACC)</t>
        </is>
      </c>
      <c r="B12" s="57">
        <f>Inputs!C32</f>
        <v/>
      </c>
      <c r="D12" s="54" t="inlineStr">
        <is>
          <t>Inputs!C32</t>
        </is>
      </c>
    </row>
    <row r="13">
      <c r="A13" s="37" t="inlineStr">
        <is>
          <t>Recovery Period</t>
        </is>
      </c>
      <c r="B13" s="58">
        <f>Inputs!C49</f>
        <v/>
      </c>
      <c r="D13" s="54" t="inlineStr">
        <is>
          <t>Inputs!C49</t>
        </is>
      </c>
    </row>
    <row r="14">
      <c r="A14" s="37" t="inlineStr">
        <is>
          <t>SCT B/C Ratio</t>
        </is>
      </c>
      <c r="B14" s="50">
        <f>'BCA Analysis'!D15</f>
        <v/>
      </c>
      <c r="D14" s="54" t="inlineStr">
        <is>
          <t>BCA!D15</t>
        </is>
      </c>
    </row>
    <row r="15">
      <c r="A15" s="37" t="inlineStr">
        <is>
          <t>PCT B/C Ratio</t>
        </is>
      </c>
      <c r="B15" s="50">
        <f>'BCA Analysis'!D16</f>
        <v/>
      </c>
      <c r="D15" s="54" t="inlineStr">
        <is>
          <t>BCA!D16</t>
        </is>
      </c>
    </row>
    <row r="16">
      <c r="A16" s="37" t="inlineStr">
        <is>
          <t>UCT B/C Ratio</t>
        </is>
      </c>
      <c r="B16" s="50">
        <f>'BCA Analysis'!D17</f>
        <v/>
      </c>
      <c r="D16" s="54" t="inlineStr">
        <is>
          <t>BCA!D17</t>
        </is>
      </c>
    </row>
    <row r="17">
      <c r="A17" s="37" t="inlineStr">
        <is>
          <t>RIM B/C Ratio</t>
        </is>
      </c>
      <c r="B17" s="50">
        <f>'BCA Analysis'!D18</f>
        <v/>
      </c>
      <c r="D17" s="54" t="inlineStr">
        <is>
          <t>BCA!D18</t>
        </is>
      </c>
    </row>
    <row r="19">
      <c r="A19" s="59" t="inlineStr">
        <is>
          <t>SCENARIO GUIDE — Change these inputs to test different scenarios:</t>
        </is>
      </c>
    </row>
    <row r="20">
      <c r="A20" s="34" t="inlineStr">
        <is>
          <t>Scenario</t>
        </is>
      </c>
      <c r="B20" s="34" t="inlineStr">
        <is>
          <t>What to Change</t>
        </is>
      </c>
      <c r="C20" s="34" t="inlineStr">
        <is>
          <t>Cell</t>
        </is>
      </c>
      <c r="D20" s="34" t="inlineStr">
        <is>
          <t>Try This Value</t>
        </is>
      </c>
      <c r="E20" s="34" t="inlineStr">
        <is>
          <t>Expected Effect</t>
        </is>
      </c>
    </row>
    <row r="21">
      <c r="A21" s="37" t="inlineStr">
        <is>
          <t>Solar-only (no battery)</t>
        </is>
      </c>
      <c r="B21" s="6" t="inlineStr">
        <is>
          <t>Battery Installed Cost → $0</t>
        </is>
      </c>
      <c r="C21" s="6" t="inlineStr">
        <is>
          <t>Inputs!C9</t>
        </is>
      </c>
      <c r="D21" s="6" t="inlineStr">
        <is>
          <t>$0</t>
        </is>
      </c>
      <c r="E21" s="6" t="inlineStr">
        <is>
          <t>System cost drops ~$12K, tariff drops significantly</t>
        </is>
      </c>
    </row>
    <row r="22">
      <c r="A22" s="37" t="inlineStr">
        <is>
          <t>Cheaper solar</t>
        </is>
      </c>
      <c r="B22" s="6" t="inlineStr">
        <is>
          <t>Solar Installed Cost → $2.00/W</t>
        </is>
      </c>
      <c r="C22" s="6" t="inlineStr">
        <is>
          <t>Inputs!C8</t>
        </is>
      </c>
      <c r="D22" s="6" t="inlineStr">
        <is>
          <t>$2.00</t>
        </is>
      </c>
      <c r="E22" s="6" t="inlineStr">
        <is>
          <t>System cost drops $5.8K, tariff drops ~20%</t>
        </is>
      </c>
    </row>
    <row r="23">
      <c r="A23" s="37" t="inlineStr">
        <is>
          <t>Higher savings</t>
        </is>
      </c>
      <c r="B23" s="6" t="inlineStr">
        <is>
          <t>Bill with system → $800/yr</t>
        </is>
      </c>
      <c r="C23" s="6" t="inlineStr">
        <is>
          <t>Inputs!C20</t>
        </is>
      </c>
      <c r="D23" s="6" t="inlineStr">
        <is>
          <t>$800</t>
        </is>
      </c>
      <c r="E23" s="6" t="inlineStr">
        <is>
          <t>Savings rise to $824/yr, ratio improves</t>
        </is>
      </c>
    </row>
    <row r="24">
      <c r="A24" s="37" t="inlineStr">
        <is>
          <t>Lower WACC</t>
        </is>
      </c>
      <c r="B24" s="6" t="inlineStr">
        <is>
          <t>TOBF Tariff Rate → 4%</t>
        </is>
      </c>
      <c r="C24" s="6" t="inlineStr">
        <is>
          <t>Inputs!C32</t>
        </is>
      </c>
      <c r="D24" s="6" t="inlineStr">
        <is>
          <t>4.00%</t>
        </is>
      </c>
      <c r="E24" s="6" t="inlineStr">
        <is>
          <t>Tariff drops significantly, tests subsidized rate</t>
        </is>
      </c>
    </row>
    <row r="25">
      <c r="A25" s="37" t="inlineStr">
        <is>
          <t>Zero interest</t>
        </is>
      </c>
      <c r="B25" s="6" t="inlineStr">
        <is>
          <t>TOBF Tariff Rate → 0%</t>
        </is>
      </c>
      <c r="C25" s="6" t="inlineStr">
        <is>
          <t>Inputs!C32</t>
        </is>
      </c>
      <c r="D25" s="6" t="inlineStr">
        <is>
          <t>0.00%</t>
        </is>
      </c>
      <c r="E25" s="6" t="inlineStr">
        <is>
          <t>Best case: tariff = investment/years</t>
        </is>
      </c>
    </row>
    <row r="26">
      <c r="A26" s="37" t="inlineStr">
        <is>
          <t>Longer term</t>
        </is>
      </c>
      <c r="B26" s="6" t="inlineStr">
        <is>
          <t>Recovery Period → 25</t>
        </is>
      </c>
      <c r="C26" s="6" t="inlineStr">
        <is>
          <t>Inputs!C49</t>
        </is>
      </c>
      <c r="D26" s="6" t="inlineStr">
        <is>
          <t>25</t>
        </is>
      </c>
      <c r="E26" s="6" t="inlineStr">
        <is>
          <t>Lower annual payment, tests full life recovery</t>
        </is>
      </c>
    </row>
    <row r="27">
      <c r="A27" s="37" t="inlineStr">
        <is>
          <t>Higher avoided costs</t>
        </is>
      </c>
      <c r="B27" s="6" t="inlineStr">
        <is>
          <t>Avoided Cost → $0.08/kWh</t>
        </is>
      </c>
      <c r="C27" s="6" t="inlineStr">
        <is>
          <t>Inputs!C37</t>
        </is>
      </c>
      <c r="D27" s="6" t="inlineStr">
        <is>
          <t>$0.080</t>
        </is>
      </c>
      <c r="E27" s="6" t="inlineStr">
        <is>
          <t>Tests future high avoided cost environment</t>
        </is>
      </c>
    </row>
    <row r="28">
      <c r="A28" s="37" t="inlineStr">
        <is>
          <t>Low admin cost</t>
        </is>
      </c>
      <c r="B28" s="6" t="inlineStr">
        <is>
          <t>Admin Cost → $500</t>
        </is>
      </c>
      <c r="C28" s="6" t="inlineStr">
        <is>
          <t>Inputs!C42</t>
        </is>
      </c>
      <c r="D28" s="6" t="inlineStr">
        <is>
          <t>$500</t>
        </is>
      </c>
      <c r="E28" s="6" t="inlineStr">
        <is>
          <t>Reduces total investment slightly</t>
        </is>
      </c>
    </row>
    <row r="29">
      <c r="A29" s="37" t="inlineStr">
        <is>
          <t>High elec escalation</t>
        </is>
      </c>
      <c r="B29" s="6" t="inlineStr">
        <is>
          <t>Escalation → 5%/yr</t>
        </is>
      </c>
      <c r="C29" s="6" t="inlineStr">
        <is>
          <t>Inputs!C23</t>
        </is>
      </c>
      <c r="D29" s="6" t="inlineStr">
        <is>
          <t>5.00%</t>
        </is>
      </c>
      <c r="E29" s="6" t="inlineStr">
        <is>
          <t>Future savings grow faster, improves NPV</t>
        </is>
      </c>
    </row>
    <row r="30">
      <c r="A30" s="37" t="inlineStr">
        <is>
          <t>EE-like cost ($3K)</t>
        </is>
      </c>
      <c r="B30" s="6" t="inlineStr">
        <is>
          <t>Solar cost $0.52/W, Battery $0</t>
        </is>
      </c>
      <c r="C30" s="6" t="inlineStr">
        <is>
          <t>Inputs!C8</t>
        </is>
      </c>
      <c r="D30" s="6" t="inlineStr">
        <is>
          <t>$0.52/W &amp; $0 batt</t>
        </is>
      </c>
      <c r="E30" s="6" t="inlineStr">
        <is>
          <t>Simulates an EE measure cost, should pass PAYS</t>
        </is>
      </c>
    </row>
    <row r="32">
      <c r="A32" s="52" t="inlineStr">
        <is>
          <t>BREAKEVEN CALCULATIONS (auto-update)</t>
        </is>
      </c>
    </row>
    <row r="33">
      <c r="A33" s="34" t="inlineStr">
        <is>
          <t>Metric</t>
        </is>
      </c>
      <c r="B33" s="34" t="inlineStr">
        <is>
          <t>Value</t>
        </is>
      </c>
      <c r="C33" s="34" t="inlineStr">
        <is>
          <t>Formula</t>
        </is>
      </c>
    </row>
    <row r="34">
      <c r="A34" s="37" t="inlineStr">
        <is>
          <t>Max investment for PAYS (current rate/term)</t>
        </is>
      </c>
      <c r="B34" s="60">
        <f>Inputs!C21*Inputs!C47/Inputs!C53</f>
        <v/>
      </c>
      <c r="C34" s="3">
        <f> (Y1 savings × 80%) / CRF</f>
        <v/>
      </c>
    </row>
    <row r="35">
      <c r="A35" s="37" t="inlineStr">
        <is>
          <t>Required subsidy for PAYS compliance</t>
        </is>
      </c>
      <c r="B35" s="61">
        <f>MAX(0, Inputs!C52-B34)</f>
        <v/>
      </c>
      <c r="C35" s="3">
        <f> MAX(0, Total Investment - Max PAYS investment)</f>
        <v/>
      </c>
    </row>
    <row r="36">
      <c r="A36" s="37" t="inlineStr">
        <is>
          <t>Required retail rate for PAYS ($/kWh)</t>
        </is>
      </c>
      <c r="B36" s="62">
        <f>Inputs!C54/(Inputs!C47*Inputs!C16)</f>
        <v/>
      </c>
      <c r="C36" s="3">
        <f> Annual tariff / (80% × annual kWh)</f>
        <v/>
      </c>
    </row>
    <row r="37">
      <c r="A37" s="37" t="inlineStr">
        <is>
          <t>Max system cost for PAYS compliance</t>
        </is>
      </c>
      <c r="B37" s="60">
        <f>(B34-Inputs!C42)/(1+Inputs!C43)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2026-02-09T17:26:30Z</dcterms:created>
  <dcterms:modified xmlns:dcterms="http://purl.org/dc/terms/" xmlns:xsi="http://www.w3.org/2001/XMLSchema-instance" xsi:type="dcterms:W3CDTF">2026-02-23T17:25:02Z</dcterms:modified>
</cp:coreProperties>
</file>