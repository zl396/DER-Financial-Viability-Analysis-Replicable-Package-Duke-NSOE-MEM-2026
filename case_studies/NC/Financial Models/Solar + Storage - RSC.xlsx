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3)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79qDaCYMg6iHzfASjXECdMtO9hx/d7sH+sO0XJw91c="/>
    </ext>
  </extLst>
</workbook>
</file>

<file path=xl/sharedStrings.xml><?xml version="1.0" encoding="utf-8"?>
<sst xmlns="http://schemas.openxmlformats.org/spreadsheetml/2006/main" count="144" uniqueCount="29">
  <si>
    <t>100% Debt Fraction Solar Loan (No Incentives used)</t>
  </si>
  <si>
    <t>Debt</t>
  </si>
  <si>
    <t>Interest Rate</t>
  </si>
  <si>
    <t>Discount Rate</t>
  </si>
  <si>
    <t>Federal ITC ($)</t>
  </si>
  <si>
    <t>Power Pair ($)</t>
  </si>
  <si>
    <t>EnergyWise Battery Credits ($/yr)</t>
  </si>
  <si>
    <t>Year 0</t>
  </si>
  <si>
    <t>Year 1</t>
  </si>
  <si>
    <t>Total ($)</t>
  </si>
  <si>
    <t>NPV ($)</t>
  </si>
  <si>
    <t>Year</t>
  </si>
  <si>
    <t>Debt Balance ($)</t>
  </si>
  <si>
    <t>Interest Payment ($)</t>
  </si>
  <si>
    <t>Principal Payment ($)</t>
  </si>
  <si>
    <t>Total P &amp; I Debt Payment ($)</t>
  </si>
  <si>
    <t>Electricity bill without system ($)</t>
  </si>
  <si>
    <t>Electricity bill with system ($)</t>
  </si>
  <si>
    <t>Value of Electricity Bill Savings ($)</t>
  </si>
  <si>
    <t>Saving from Incentives ($)</t>
  </si>
  <si>
    <t>Total Savings</t>
  </si>
  <si>
    <t>Net Saving</t>
  </si>
  <si>
    <t>100% Debt Fraction Solar Loan 
(with Fed ITC + State Incentives)</t>
  </si>
  <si>
    <t>Total Saving ($)</t>
  </si>
  <si>
    <t>Full Upfront Payment (Mr. Stiegler)</t>
  </si>
  <si>
    <t>Value of electricity savings ($)</t>
  </si>
  <si>
    <t>100% Debt Fraction Solar Loan (No FedITC)</t>
  </si>
  <si>
    <t>100% Debt Fraction Solar Loan (Incentives not used to pay back debt)</t>
  </si>
  <si>
    <t>100% Debt Fraction Solar Loan 
(ITC are cashed in and all incentives are used to pay back debt)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</si>
</sst>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_);_(&quot;$&quot;* \(#,##0\);_(&quot;$&quot;* &quot;-&quot;??_);_(@_)"/>
    <numFmt numFmtId="165" formatCode="0.0%"/>
    <numFmt numFmtId="166" formatCode="_(&quot;$&quot;* #,##0.00_);_(&quot;$&quot;* \(#,##0.00\);_(&quot;$&quot;* &quot;-&quot;??_);_(@_)"/>
    <numFmt numFmtId="167" formatCode="0.0"/>
  </numFmts>
  <fonts count="13">
    <font>
      <sz val="12.0"/>
      <color theme="1"/>
      <name val="Aptos Narrow"/>
      <scheme val="minor"/>
    </font>
    <font>
      <b/>
      <sz val="20.0"/>
      <color theme="0"/>
      <name val="Aptos Narrow"/>
    </font>
    <font>
      <sz val="16.0"/>
      <color theme="1"/>
      <name val="Aptos Narrow"/>
    </font>
    <font>
      <sz val="12.0"/>
      <color theme="1"/>
      <name val="Aptos Narrow"/>
    </font>
    <font>
      <sz val="16.0"/>
      <color theme="0"/>
      <name val="Aptos Narrow"/>
    </font>
    <font>
      <b/>
      <sz val="16.0"/>
      <color theme="0"/>
      <name val="Aptos Narrow"/>
    </font>
    <font>
      <sz val="12.0"/>
      <color theme="0"/>
      <name val="Aptos Narrow"/>
    </font>
    <font>
      <b/>
      <sz val="16.0"/>
      <color theme="1"/>
      <name val="Aptos Narrow"/>
    </font>
    <font>
      <sz val="16.0"/>
      <color rgb="FFFF0000"/>
      <name val="Aptos Narrow"/>
    </font>
    <font>
      <b/>
      <sz val="16.0"/>
      <color rgb="FFFF0000"/>
      <name val="Aptos Narrow"/>
    </font>
    <font>
      <b/>
      <sz val="12.0"/>
      <color theme="1"/>
      <name val="Aptos Narrow"/>
    </font>
    <font>
      <b/>
      <sz val="20.0"/>
      <color theme="1"/>
      <name val="Aptos Narrow"/>
    </font>
    <font>
      <sz val="16.0"/>
      <color rgb="FFFFFFFF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BF4F14"/>
        <bgColor rgb="FFBF4F14"/>
      </patternFill>
    </fill>
    <fill>
      <patternFill patternType="solid">
        <fgColor rgb="FFE8E8E8"/>
        <bgColor rgb="FFE8E8E8"/>
      </patternFill>
    </fill>
    <fill>
      <patternFill patternType="solid">
        <fgColor rgb="FFFAE2D5"/>
        <bgColor rgb="FFFAE2D5"/>
      </patternFill>
    </fill>
    <fill>
      <patternFill patternType="solid">
        <fgColor rgb="FF0F4861"/>
        <bgColor rgb="FF0F4861"/>
      </patternFill>
    </fill>
    <fill>
      <patternFill patternType="solid">
        <fgColor rgb="FFC1E4F5"/>
        <bgColor rgb="FFC1E4F5"/>
      </patternFill>
    </fill>
    <fill>
      <patternFill patternType="solid">
        <fgColor rgb="FF215E99"/>
        <bgColor rgb="FF215E99"/>
      </patternFill>
    </fill>
    <fill>
      <patternFill patternType="solid">
        <fgColor rgb="FFDBE9F7"/>
        <bgColor rgb="FFDBE9F7"/>
      </patternFill>
    </fill>
    <fill>
      <patternFill patternType="solid">
        <fgColor rgb="FF3A7D22"/>
        <bgColor rgb="FF3A7D22"/>
      </patternFill>
    </fill>
    <fill>
      <patternFill patternType="solid">
        <fgColor rgb="FFB3E5A1"/>
        <bgColor rgb="FFB3E5A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2" fontId="4" numFmtId="164" xfId="0" applyAlignment="1" applyBorder="1" applyFont="1" applyNumberFormat="1">
      <alignment horizontal="left" shrinkToFit="0" vertical="center" wrapText="1"/>
    </xf>
    <xf borderId="1" fillId="2" fontId="3" numFmtId="0" xfId="0" applyBorder="1" applyFont="1"/>
    <xf borderId="1" fillId="2" fontId="2" numFmtId="164" xfId="0" applyAlignment="1" applyBorder="1" applyFont="1" applyNumberFormat="1">
      <alignment horizontal="left" vertical="center"/>
    </xf>
    <xf borderId="1" fillId="2" fontId="4" numFmtId="164" xfId="0" applyAlignment="1" applyBorder="1" applyFont="1" applyNumberFormat="1">
      <alignment horizontal="right" shrinkToFit="0" vertical="center" wrapText="1"/>
    </xf>
    <xf borderId="1" fillId="3" fontId="4" numFmtId="164" xfId="0" applyAlignment="1" applyBorder="1" applyFont="1" applyNumberFormat="1">
      <alignment horizontal="left" shrinkToFit="0" vertical="center" wrapText="1"/>
    </xf>
    <xf borderId="1" fillId="2" fontId="5" numFmtId="10" xfId="0" applyAlignment="1" applyBorder="1" applyFont="1" applyNumberFormat="1">
      <alignment horizontal="right" shrinkToFit="0" vertical="center" wrapText="1"/>
    </xf>
    <xf borderId="1" fillId="2" fontId="4" numFmtId="165" xfId="0" applyAlignment="1" applyBorder="1" applyFont="1" applyNumberFormat="1">
      <alignment horizontal="right" shrinkToFit="0" vertical="center" wrapText="1"/>
    </xf>
    <xf borderId="1" fillId="2" fontId="4" numFmtId="0" xfId="0" applyAlignment="1" applyBorder="1" applyFont="1">
      <alignment horizontal="left" vertical="center"/>
    </xf>
    <xf borderId="1" fillId="2" fontId="4" numFmtId="1" xfId="0" applyAlignment="1" applyBorder="1" applyFont="1" applyNumberFormat="1">
      <alignment horizontal="right" vertical="center"/>
    </xf>
    <xf borderId="1" fillId="3" fontId="4" numFmtId="0" xfId="0" applyAlignment="1" applyBorder="1" applyFont="1">
      <alignment horizontal="left" vertical="center"/>
    </xf>
    <xf borderId="1" fillId="2" fontId="6" numFmtId="0" xfId="0" applyBorder="1" applyFont="1"/>
    <xf borderId="1" fillId="3" fontId="2" numFmtId="0" xfId="0" applyAlignment="1" applyBorder="1" applyFont="1">
      <alignment horizontal="left" vertical="center"/>
    </xf>
    <xf borderId="1" fillId="4" fontId="2" numFmtId="0" xfId="0" applyBorder="1" applyFill="1" applyFont="1"/>
    <xf borderId="1" fillId="4" fontId="7" numFmtId="0" xfId="0" applyBorder="1" applyFont="1"/>
    <xf borderId="1" fillId="4" fontId="7" numFmtId="164" xfId="0" applyAlignment="1" applyBorder="1" applyFont="1" applyNumberFormat="1">
      <alignment horizontal="left" vertical="center"/>
    </xf>
    <xf borderId="1" fillId="3" fontId="3" numFmtId="0" xfId="0" applyBorder="1" applyFont="1"/>
    <xf borderId="1" fillId="4" fontId="2" numFmtId="1" xfId="0" applyAlignment="1" applyBorder="1" applyFont="1" applyNumberFormat="1">
      <alignment horizontal="left" vertical="center"/>
    </xf>
    <xf borderId="1" fillId="3" fontId="2" numFmtId="0" xfId="0" applyBorder="1" applyFont="1"/>
    <xf borderId="1" fillId="4" fontId="7" numFmtId="164" xfId="0" applyAlignment="1" applyBorder="1" applyFont="1" applyNumberFormat="1">
      <alignment horizontal="left" shrinkToFit="0" wrapText="1"/>
    </xf>
    <xf borderId="1" fillId="4" fontId="2" numFmtId="164" xfId="0" applyAlignment="1" applyBorder="1" applyFont="1" applyNumberFormat="1">
      <alignment horizontal="left" vertical="center"/>
    </xf>
    <xf borderId="1" fillId="4" fontId="8" numFmtId="164" xfId="0" applyAlignment="1" applyBorder="1" applyFont="1" applyNumberFormat="1">
      <alignment horizontal="left" vertical="center"/>
    </xf>
    <xf borderId="1" fillId="4" fontId="8" numFmtId="164" xfId="0" applyAlignment="1" applyBorder="1" applyFont="1" applyNumberFormat="1">
      <alignment horizontal="left"/>
    </xf>
    <xf borderId="1" fillId="4" fontId="7" numFmtId="164" xfId="0" applyAlignment="1" applyBorder="1" applyFont="1" applyNumberFormat="1">
      <alignment horizontal="left"/>
    </xf>
    <xf borderId="1" fillId="4" fontId="2" numFmtId="164" xfId="0" applyAlignment="1" applyBorder="1" applyFont="1" applyNumberFormat="1">
      <alignment horizontal="left"/>
    </xf>
    <xf borderId="1" fillId="4" fontId="7" numFmtId="0" xfId="0" applyAlignment="1" applyBorder="1" applyFont="1">
      <alignment horizontal="left" vertical="center"/>
    </xf>
    <xf borderId="1" fillId="4" fontId="7" numFmtId="0" xfId="0" applyAlignment="1" applyBorder="1" applyFont="1">
      <alignment horizontal="left"/>
    </xf>
    <xf borderId="1" fillId="4" fontId="2" numFmtId="1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4" fontId="9" numFmtId="164" xfId="0" applyBorder="1" applyFont="1" applyNumberFormat="1"/>
    <xf borderId="1" fillId="4" fontId="2" numFmtId="164" xfId="0" applyBorder="1" applyFont="1" applyNumberFormat="1"/>
    <xf borderId="1" fillId="4" fontId="9" numFmtId="164" xfId="0" applyAlignment="1" applyBorder="1" applyFont="1" applyNumberFormat="1">
      <alignment horizontal="left"/>
    </xf>
    <xf borderId="1" fillId="5" fontId="1" numFmtId="164" xfId="0" applyAlignment="1" applyBorder="1" applyFill="1" applyFont="1" applyNumberFormat="1">
      <alignment horizontal="left" shrinkToFit="0" vertical="center" wrapText="1"/>
    </xf>
    <xf borderId="1" fillId="5" fontId="2" numFmtId="164" xfId="0" applyAlignment="1" applyBorder="1" applyFont="1" applyNumberFormat="1">
      <alignment horizontal="left" shrinkToFit="0" vertical="center" wrapText="1"/>
    </xf>
    <xf borderId="1" fillId="5" fontId="2" numFmtId="0" xfId="0" applyAlignment="1" applyBorder="1" applyFont="1">
      <alignment shrinkToFit="0" wrapText="1"/>
    </xf>
    <xf borderId="1" fillId="5" fontId="4" numFmtId="164" xfId="0" applyAlignment="1" applyBorder="1" applyFont="1" applyNumberFormat="1">
      <alignment horizontal="left" shrinkToFit="0" vertical="center" wrapText="1"/>
    </xf>
    <xf borderId="1" fillId="5" fontId="3" numFmtId="0" xfId="0" applyBorder="1" applyFont="1"/>
    <xf borderId="1" fillId="5" fontId="2" numFmtId="164" xfId="0" applyAlignment="1" applyBorder="1" applyFont="1" applyNumberFormat="1">
      <alignment horizontal="left" vertical="center"/>
    </xf>
    <xf borderId="1" fillId="5" fontId="4" numFmtId="164" xfId="0" applyAlignment="1" applyBorder="1" applyFont="1" applyNumberFormat="1">
      <alignment horizontal="right" shrinkToFit="0" vertical="center" wrapText="1"/>
    </xf>
    <xf borderId="1" fillId="5" fontId="4" numFmtId="10" xfId="0" applyAlignment="1" applyBorder="1" applyFont="1" applyNumberFormat="1">
      <alignment horizontal="right" shrinkToFit="0" vertical="center" wrapText="1"/>
    </xf>
    <xf borderId="1" fillId="5" fontId="4" numFmtId="0" xfId="0" applyAlignment="1" applyBorder="1" applyFont="1">
      <alignment horizontal="left" vertical="center"/>
    </xf>
    <xf borderId="1" fillId="5" fontId="4" numFmtId="1" xfId="0" applyAlignment="1" applyBorder="1" applyFont="1" applyNumberFormat="1">
      <alignment horizontal="right" vertical="center"/>
    </xf>
    <xf borderId="1" fillId="5" fontId="6" numFmtId="0" xfId="0" applyBorder="1" applyFont="1"/>
    <xf borderId="1" fillId="6" fontId="2" numFmtId="0" xfId="0" applyBorder="1" applyFill="1" applyFont="1"/>
    <xf borderId="1" fillId="6" fontId="7" numFmtId="0" xfId="0" applyBorder="1" applyFont="1"/>
    <xf borderId="1" fillId="6" fontId="7" numFmtId="164" xfId="0" applyAlignment="1" applyBorder="1" applyFont="1" applyNumberFormat="1">
      <alignment horizontal="left" vertical="center"/>
    </xf>
    <xf borderId="1" fillId="6" fontId="2" numFmtId="1" xfId="0" applyAlignment="1" applyBorder="1" applyFont="1" applyNumberFormat="1">
      <alignment horizontal="left" vertical="center"/>
    </xf>
    <xf borderId="1" fillId="6" fontId="7" numFmtId="164" xfId="0" applyAlignment="1" applyBorder="1" applyFont="1" applyNumberFormat="1">
      <alignment horizontal="left" shrinkToFit="0" wrapText="1"/>
    </xf>
    <xf borderId="1" fillId="6" fontId="2" numFmtId="164" xfId="0" applyAlignment="1" applyBorder="1" applyFont="1" applyNumberFormat="1">
      <alignment horizontal="left" shrinkToFit="0" wrapText="1"/>
    </xf>
    <xf borderId="1" fillId="6" fontId="2" numFmtId="164" xfId="0" applyAlignment="1" applyBorder="1" applyFont="1" applyNumberFormat="1">
      <alignment horizontal="left" vertical="center"/>
    </xf>
    <xf borderId="1" fillId="6" fontId="8" numFmtId="164" xfId="0" applyAlignment="1" applyBorder="1" applyFont="1" applyNumberFormat="1">
      <alignment horizontal="left" vertical="center"/>
    </xf>
    <xf borderId="1" fillId="6" fontId="8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2" numFmtId="164" xfId="0" applyAlignment="1" applyBorder="1" applyFont="1" applyNumberFormat="1">
      <alignment horizontal="left"/>
    </xf>
    <xf borderId="1" fillId="6" fontId="2" numFmtId="0" xfId="0" applyAlignment="1" applyBorder="1" applyFont="1">
      <alignment horizontal="left" vertical="center"/>
    </xf>
    <xf borderId="1" fillId="6" fontId="7" numFmtId="0" xfId="0" applyAlignment="1" applyBorder="1" applyFont="1">
      <alignment horizontal="left"/>
    </xf>
    <xf borderId="1" fillId="6" fontId="2" numFmtId="1" xfId="0" applyAlignment="1" applyBorder="1" applyFont="1" applyNumberFormat="1">
      <alignment horizontal="left"/>
    </xf>
    <xf borderId="1" fillId="6" fontId="2" numFmtId="164" xfId="0" applyBorder="1" applyFont="1" applyNumberFormat="1"/>
    <xf borderId="1" fillId="6" fontId="7" numFmtId="164" xfId="0" applyBorder="1" applyFont="1" applyNumberFormat="1"/>
    <xf borderId="1" fillId="6" fontId="2" numFmtId="1" xfId="0" applyBorder="1" applyFont="1" applyNumberFormat="1"/>
    <xf borderId="1" fillId="6" fontId="7" numFmtId="1" xfId="0" applyBorder="1" applyFont="1" applyNumberFormat="1"/>
    <xf borderId="1" fillId="5" fontId="7" numFmtId="0" xfId="0" applyBorder="1" applyFont="1"/>
    <xf borderId="1" fillId="5" fontId="2" numFmtId="0" xfId="0" applyBorder="1" applyFont="1"/>
    <xf borderId="1" fillId="5" fontId="7" numFmtId="166" xfId="0" applyAlignment="1" applyBorder="1" applyFont="1" applyNumberFormat="1">
      <alignment horizontal="left"/>
    </xf>
    <xf borderId="1" fillId="3" fontId="10" numFmtId="1" xfId="0" applyBorder="1" applyFont="1" applyNumberFormat="1"/>
    <xf borderId="1" fillId="7" fontId="1" numFmtId="164" xfId="0" applyAlignment="1" applyBorder="1" applyFill="1" applyFont="1" applyNumberFormat="1">
      <alignment horizontal="left" shrinkToFit="0" vertical="center" wrapText="1"/>
    </xf>
    <xf borderId="1" fillId="7" fontId="4" numFmtId="164" xfId="0" applyAlignment="1" applyBorder="1" applyFont="1" applyNumberFormat="1">
      <alignment horizontal="left" shrinkToFit="0" vertical="center" wrapText="1"/>
    </xf>
    <xf borderId="1" fillId="7" fontId="4" numFmtId="0" xfId="0" applyAlignment="1" applyBorder="1" applyFont="1">
      <alignment shrinkToFit="0" wrapText="1"/>
    </xf>
    <xf borderId="1" fillId="7" fontId="6" numFmtId="0" xfId="0" applyBorder="1" applyFont="1"/>
    <xf borderId="1" fillId="7" fontId="3" numFmtId="0" xfId="0" applyBorder="1" applyFont="1"/>
    <xf borderId="1" fillId="7" fontId="4" numFmtId="164" xfId="0" applyAlignment="1" applyBorder="1" applyFont="1" applyNumberFormat="1">
      <alignment shrinkToFit="0" wrapText="1"/>
    </xf>
    <xf borderId="1" fillId="7" fontId="4" numFmtId="10" xfId="0" applyAlignment="1" applyBorder="1" applyFont="1" applyNumberFormat="1">
      <alignment shrinkToFit="0" wrapText="1"/>
    </xf>
    <xf borderId="1" fillId="7" fontId="4" numFmtId="0" xfId="0" applyAlignment="1" applyBorder="1" applyFont="1">
      <alignment horizontal="left" vertical="center"/>
    </xf>
    <xf borderId="1" fillId="7" fontId="4" numFmtId="167" xfId="0" applyAlignment="1" applyBorder="1" applyFont="1" applyNumberFormat="1">
      <alignment horizontal="right" vertical="center"/>
    </xf>
    <xf borderId="1" fillId="7" fontId="4" numFmtId="1" xfId="0" applyAlignment="1" applyBorder="1" applyFont="1" applyNumberFormat="1">
      <alignment horizontal="right" vertical="center"/>
    </xf>
    <xf borderId="1" fillId="8" fontId="2" numFmtId="0" xfId="0" applyBorder="1" applyFill="1" applyFont="1"/>
    <xf borderId="1" fillId="8" fontId="7" numFmtId="0" xfId="0" applyBorder="1" applyFont="1"/>
    <xf borderId="1" fillId="8" fontId="7" numFmtId="164" xfId="0" applyAlignment="1" applyBorder="1" applyFont="1" applyNumberFormat="1">
      <alignment horizontal="left" vertical="center"/>
    </xf>
    <xf borderId="1" fillId="8" fontId="2" numFmtId="1" xfId="0" applyAlignment="1" applyBorder="1" applyFont="1" applyNumberFormat="1">
      <alignment horizontal="left" vertical="center"/>
    </xf>
    <xf borderId="1" fillId="8" fontId="7" numFmtId="164" xfId="0" applyAlignment="1" applyBorder="1" applyFont="1" applyNumberFormat="1">
      <alignment horizontal="left" shrinkToFit="0" wrapText="1"/>
    </xf>
    <xf borderId="1" fillId="8" fontId="7" numFmtId="166" xfId="0" applyAlignment="1" applyBorder="1" applyFont="1" applyNumberFormat="1">
      <alignment horizontal="left" vertical="center"/>
    </xf>
    <xf borderId="1" fillId="8" fontId="2" numFmtId="166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left" shrinkToFit="0" wrapText="1"/>
    </xf>
    <xf borderId="1" fillId="8" fontId="2" numFmtId="164" xfId="0" applyAlignment="1" applyBorder="1" applyFont="1" applyNumberFormat="1">
      <alignment horizontal="left" vertical="center"/>
    </xf>
    <xf borderId="1" fillId="8" fontId="2" numFmtId="164" xfId="0" applyAlignment="1" applyBorder="1" applyFont="1" applyNumberFormat="1">
      <alignment horizontal="left"/>
    </xf>
    <xf borderId="1" fillId="8" fontId="8" numFmtId="164" xfId="0" applyAlignment="1" applyBorder="1" applyFont="1" applyNumberFormat="1">
      <alignment horizontal="left" vertical="center"/>
    </xf>
    <xf borderId="1" fillId="8" fontId="8" numFmtId="164" xfId="0" applyAlignment="1" applyBorder="1" applyFont="1" applyNumberFormat="1">
      <alignment horizontal="left"/>
    </xf>
    <xf borderId="1" fillId="8" fontId="7" numFmtId="164" xfId="0" applyAlignment="1" applyBorder="1" applyFont="1" applyNumberFormat="1">
      <alignment horizontal="left"/>
    </xf>
    <xf borderId="1" fillId="8" fontId="2" numFmtId="0" xfId="0" applyAlignment="1" applyBorder="1" applyFont="1">
      <alignment horizontal="left" vertical="center"/>
    </xf>
    <xf borderId="1" fillId="8" fontId="7" numFmtId="0" xfId="0" applyAlignment="1" applyBorder="1" applyFont="1">
      <alignment horizontal="left"/>
    </xf>
    <xf borderId="1" fillId="8" fontId="7" numFmtId="164" xfId="0" applyBorder="1" applyFont="1" applyNumberFormat="1"/>
    <xf borderId="1" fillId="8" fontId="2" numFmtId="164" xfId="0" applyBorder="1" applyFont="1" applyNumberFormat="1"/>
    <xf borderId="1" fillId="9" fontId="1" numFmtId="164" xfId="0" applyAlignment="1" applyBorder="1" applyFill="1" applyFont="1" applyNumberFormat="1">
      <alignment horizontal="left" shrinkToFit="0" vertical="center" wrapText="1"/>
    </xf>
    <xf borderId="1" fillId="9" fontId="2" numFmtId="164" xfId="0" applyAlignment="1" applyBorder="1" applyFont="1" applyNumberFormat="1">
      <alignment horizontal="left" shrinkToFit="0" vertical="center" wrapText="1"/>
    </xf>
    <xf borderId="1" fillId="9" fontId="2" numFmtId="0" xfId="0" applyAlignment="1" applyBorder="1" applyFont="1">
      <alignment shrinkToFit="0" wrapText="1"/>
    </xf>
    <xf borderId="1" fillId="9" fontId="4" numFmtId="164" xfId="0" applyAlignment="1" applyBorder="1" applyFont="1" applyNumberFormat="1">
      <alignment horizontal="left" shrinkToFit="0" vertical="center" wrapText="1"/>
    </xf>
    <xf borderId="1" fillId="9" fontId="3" numFmtId="0" xfId="0" applyBorder="1" applyFont="1"/>
    <xf borderId="1" fillId="9" fontId="2" numFmtId="164" xfId="0" applyAlignment="1" applyBorder="1" applyFont="1" applyNumberFormat="1">
      <alignment horizontal="left" vertical="center"/>
    </xf>
    <xf borderId="1" fillId="9" fontId="4" numFmtId="164" xfId="0" applyAlignment="1" applyBorder="1" applyFont="1" applyNumberFormat="1">
      <alignment horizontal="right" shrinkToFit="0" vertical="center" wrapText="1"/>
    </xf>
    <xf borderId="1" fillId="9" fontId="4" numFmtId="10" xfId="0" applyAlignment="1" applyBorder="1" applyFont="1" applyNumberFormat="1">
      <alignment horizontal="right" shrinkToFit="0" vertical="center" wrapText="1"/>
    </xf>
    <xf borderId="1" fillId="9" fontId="4" numFmtId="165" xfId="0" applyAlignment="1" applyBorder="1" applyFont="1" applyNumberFormat="1">
      <alignment horizontal="right" shrinkToFit="0" vertical="center" wrapText="1"/>
    </xf>
    <xf borderId="1" fillId="9" fontId="4" numFmtId="0" xfId="0" applyAlignment="1" applyBorder="1" applyFont="1">
      <alignment horizontal="left" vertical="center"/>
    </xf>
    <xf borderId="1" fillId="9" fontId="4" numFmtId="1" xfId="0" applyAlignment="1" applyBorder="1" applyFont="1" applyNumberFormat="1">
      <alignment horizontal="right" vertical="center"/>
    </xf>
    <xf borderId="1" fillId="10" fontId="2" numFmtId="0" xfId="0" applyBorder="1" applyFill="1" applyFont="1"/>
    <xf borderId="1" fillId="10" fontId="7" numFmtId="0" xfId="0" applyBorder="1" applyFont="1"/>
    <xf borderId="1" fillId="10" fontId="7" numFmtId="164" xfId="0" applyAlignment="1" applyBorder="1" applyFont="1" applyNumberFormat="1">
      <alignment horizontal="left" vertical="center"/>
    </xf>
    <xf borderId="1" fillId="10" fontId="10" numFmtId="0" xfId="0" applyBorder="1" applyFont="1"/>
    <xf borderId="1" fillId="10" fontId="2" numFmtId="164" xfId="0" applyAlignment="1" applyBorder="1" applyFont="1" applyNumberFormat="1">
      <alignment horizontal="left" vertical="center"/>
    </xf>
    <xf borderId="1" fillId="10" fontId="2" numFmtId="164" xfId="0" applyBorder="1" applyFont="1" applyNumberFormat="1"/>
    <xf borderId="1" fillId="10" fontId="7" numFmtId="164" xfId="0" applyAlignment="1" applyBorder="1" applyFont="1" applyNumberFormat="1">
      <alignment horizontal="left" shrinkToFit="0" wrapText="1"/>
    </xf>
    <xf borderId="1" fillId="10" fontId="8" numFmtId="164" xfId="0" applyAlignment="1" applyBorder="1" applyFont="1" applyNumberFormat="1">
      <alignment horizontal="left" vertical="center"/>
    </xf>
    <xf borderId="1" fillId="10" fontId="8" numFmtId="164" xfId="0" applyAlignment="1" applyBorder="1" applyFont="1" applyNumberFormat="1">
      <alignment horizontal="left"/>
    </xf>
    <xf borderId="1" fillId="10" fontId="7" numFmtId="164" xfId="0" applyAlignment="1" applyBorder="1" applyFont="1" applyNumberFormat="1">
      <alignment horizontal="left"/>
    </xf>
    <xf borderId="1" fillId="10" fontId="2" numFmtId="1" xfId="0" applyAlignment="1" applyBorder="1" applyFont="1" applyNumberFormat="1">
      <alignment horizontal="left" vertical="center"/>
    </xf>
    <xf borderId="1" fillId="10" fontId="2" numFmtId="164" xfId="0" applyAlignment="1" applyBorder="1" applyFont="1" applyNumberFormat="1">
      <alignment horizontal="left"/>
    </xf>
    <xf borderId="1" fillId="10" fontId="7" numFmtId="0" xfId="0" applyAlignment="1" applyBorder="1" applyFont="1">
      <alignment horizontal="left" vertical="center"/>
    </xf>
    <xf borderId="1" fillId="10" fontId="7" numFmtId="0" xfId="0" applyAlignment="1" applyBorder="1" applyFont="1">
      <alignment horizontal="left"/>
    </xf>
    <xf borderId="1" fillId="10" fontId="9" numFmtId="164" xfId="0" applyBorder="1" applyFont="1" applyNumberFormat="1"/>
    <xf borderId="1" fillId="2" fontId="4" numFmtId="0" xfId="0" applyAlignment="1" applyBorder="1" applyFont="1">
      <alignment horizontal="right" shrinkToFit="0" vertical="center" wrapText="1"/>
    </xf>
    <xf borderId="1" fillId="2" fontId="4" numFmtId="10" xfId="0" applyAlignment="1" applyBorder="1" applyFont="1" applyNumberFormat="1">
      <alignment horizontal="right" shrinkToFit="0" vertical="center" wrapText="1"/>
    </xf>
    <xf borderId="1" fillId="2" fontId="4" numFmtId="167" xfId="0" applyAlignment="1" applyBorder="1" applyFont="1" applyNumberFormat="1">
      <alignment horizontal="right" vertical="center"/>
    </xf>
    <xf borderId="1" fillId="2" fontId="4" numFmtId="0" xfId="0" applyAlignment="1" applyBorder="1" applyFont="1">
      <alignment horizontal="right" vertical="center"/>
    </xf>
    <xf borderId="1" fillId="4" fontId="7" numFmtId="1" xfId="0" applyAlignment="1" applyBorder="1" applyFont="1" applyNumberFormat="1">
      <alignment horizontal="left" vertical="center"/>
    </xf>
    <xf borderId="1" fillId="4" fontId="7" numFmtId="1" xfId="0" applyAlignment="1" applyBorder="1" applyFont="1" applyNumberFormat="1">
      <alignment horizontal="left"/>
    </xf>
    <xf borderId="1" fillId="4" fontId="9" numFmtId="166" xfId="0" applyAlignment="1" applyBorder="1" applyFont="1" applyNumberFormat="1">
      <alignment horizontal="left"/>
    </xf>
    <xf borderId="1" fillId="3" fontId="2" numFmtId="164" xfId="0" applyAlignment="1" applyBorder="1" applyFont="1" applyNumberFormat="1">
      <alignment horizontal="left" vertical="center"/>
    </xf>
    <xf borderId="1" fillId="5" fontId="4" numFmtId="0" xfId="0" applyAlignment="1" applyBorder="1" applyFont="1">
      <alignment horizontal="right" shrinkToFit="0" vertical="center" wrapText="1"/>
    </xf>
    <xf borderId="1" fillId="5" fontId="4" numFmtId="167" xfId="0" applyAlignment="1" applyBorder="1" applyFont="1" applyNumberFormat="1">
      <alignment horizontal="right" vertical="center"/>
    </xf>
    <xf borderId="1" fillId="5" fontId="4" numFmtId="0" xfId="0" applyAlignment="1" applyBorder="1" applyFont="1">
      <alignment horizontal="right" vertical="center"/>
    </xf>
    <xf borderId="1" fillId="6" fontId="11" numFmtId="164" xfId="0" applyAlignment="1" applyBorder="1" applyFont="1" applyNumberFormat="1">
      <alignment horizontal="left" shrinkToFit="0" vertical="center" wrapText="1"/>
    </xf>
    <xf borderId="1" fillId="6" fontId="2" numFmtId="164" xfId="0" applyAlignment="1" applyBorder="1" applyFont="1" applyNumberFormat="1">
      <alignment horizontal="left" shrinkToFit="0" vertical="center" wrapText="1"/>
    </xf>
    <xf borderId="1" fillId="6" fontId="2" numFmtId="0" xfId="0" applyAlignment="1" applyBorder="1" applyFont="1">
      <alignment shrinkToFit="0" wrapText="1"/>
    </xf>
    <xf borderId="1" fillId="6" fontId="7" numFmtId="1" xfId="0" applyAlignment="1" applyBorder="1" applyFont="1" applyNumberFormat="1">
      <alignment horizontal="left" vertical="center"/>
    </xf>
    <xf borderId="1" fillId="6" fontId="7" numFmtId="1" xfId="0" applyAlignment="1" applyBorder="1" applyFont="1" applyNumberFormat="1">
      <alignment horizontal="left"/>
    </xf>
    <xf borderId="1" fillId="6" fontId="7" numFmtId="166" xfId="0" applyAlignment="1" applyBorder="1" applyFont="1" applyNumberFormat="1">
      <alignment horizontal="left"/>
    </xf>
    <xf borderId="1" fillId="3" fontId="12" numFmtId="164" xfId="0" applyAlignment="1" applyBorder="1" applyFont="1" applyNumberFormat="1">
      <alignment horizontal="left" shrinkToFit="0" vertical="center" wrapText="1"/>
    </xf>
    <xf borderId="1" fillId="3" fontId="12" numFmtId="0" xfId="0" applyAlignment="1" applyBorder="1" applyFont="1">
      <alignment horizontal="right" shrinkToFit="0" vertical="center" wrapText="1"/>
    </xf>
    <xf borderId="1" fillId="3" fontId="12" numFmtId="10" xfId="0" applyAlignment="1" applyBorder="1" applyFont="1" applyNumberFormat="1">
      <alignment horizontal="right" shrinkToFit="0" vertical="center" wrapText="1"/>
    </xf>
    <xf borderId="1" fillId="3" fontId="12" numFmtId="0" xfId="0" applyAlignment="1" applyBorder="1" applyFont="1">
      <alignment horizontal="left" vertical="center"/>
    </xf>
    <xf borderId="1" fillId="3" fontId="12" numFmtId="167" xfId="0" applyAlignment="1" applyBorder="1" applyFont="1" applyNumberFormat="1">
      <alignment horizontal="right" vertical="center"/>
    </xf>
    <xf borderId="1" fillId="7" fontId="12" numFmtId="0" xfId="0" applyAlignment="1" applyBorder="1" applyFont="1">
      <alignment horizontal="left" vertical="center"/>
    </xf>
    <xf borderId="1" fillId="7" fontId="12" numFmtId="167" xfId="0" applyAlignment="1" applyBorder="1" applyFont="1" applyNumberFormat="1">
      <alignment horizontal="right" vertical="center"/>
    </xf>
    <xf borderId="1" fillId="3" fontId="12" numFmtId="0" xfId="0" applyAlignment="1" applyBorder="1" applyFont="1">
      <alignment horizontal="right" vertical="center"/>
    </xf>
    <xf borderId="1" fillId="7" fontId="12" numFmtId="0" xfId="0" applyAlignment="1" applyBorder="1" applyFont="1">
      <alignment horizontal="right" vertical="center"/>
    </xf>
    <xf borderId="1" fillId="8" fontId="11" numFmtId="164" xfId="0" applyAlignment="1" applyBorder="1" applyFont="1" applyNumberFormat="1">
      <alignment horizontal="left" shrinkToFit="0" vertical="center" wrapText="1"/>
    </xf>
    <xf borderId="1" fillId="8" fontId="2" numFmtId="164" xfId="0" applyAlignment="1" applyBorder="1" applyFont="1" applyNumberFormat="1">
      <alignment horizontal="left" shrinkToFit="0" vertical="center" wrapText="1"/>
    </xf>
    <xf borderId="1" fillId="8" fontId="2" numFmtId="0" xfId="0" applyAlignment="1" applyBorder="1" applyFont="1">
      <alignment shrinkToFit="0" wrapText="1"/>
    </xf>
    <xf borderId="1" fillId="8" fontId="2" numFmtId="1" xfId="0" applyAlignment="1" applyBorder="1" applyFont="1" applyNumberFormat="1">
      <alignment horizontal="left"/>
    </xf>
    <xf borderId="1" fillId="8" fontId="7" numFmtId="1" xfId="0" applyAlignment="1" applyBorder="1" applyFont="1" applyNumberFormat="1">
      <alignment horizontal="left" vertical="center"/>
    </xf>
    <xf borderId="1" fillId="8" fontId="7" numFmtId="1" xfId="0" applyAlignment="1" applyBorder="1" applyFont="1" applyNumberFormat="1">
      <alignment horizontal="left"/>
    </xf>
    <xf borderId="1" fillId="8" fontId="7" numFmtId="166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22"/>
    <col customWidth="1" min="2" max="2" width="14.44"/>
    <col customWidth="1" min="3" max="3" width="14.78"/>
    <col customWidth="1" min="4" max="5" width="16.44"/>
    <col customWidth="1" min="6" max="23" width="14.78"/>
    <col customWidth="1" min="24" max="27" width="13.44"/>
    <col customWidth="1" min="28" max="29" width="17.0"/>
    <col customWidth="1" min="30" max="30" width="1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/>
      <c r="AC2" s="8">
        <v>25085.0</v>
      </c>
      <c r="AD2" s="9"/>
    </row>
    <row r="3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6"/>
      <c r="AC3" s="10">
        <v>0.0724</v>
      </c>
      <c r="AD3" s="9"/>
    </row>
    <row r="4">
      <c r="A4" s="5" t="s"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6"/>
      <c r="AC4" s="11">
        <v>0.064</v>
      </c>
      <c r="AD4" s="9"/>
    </row>
    <row r="5" hidden="1">
      <c r="A5" s="12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3">
        <f>AC2*0.3</f>
        <v>7525.5</v>
      </c>
      <c r="AD5" s="14"/>
    </row>
    <row r="6" hidden="1">
      <c r="A6" s="12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13">
        <v>7477.2</v>
      </c>
      <c r="AD6" s="14"/>
    </row>
    <row r="7" hidden="1">
      <c r="A7" s="12" t="s">
        <v>6</v>
      </c>
      <c r="B7" s="15"/>
      <c r="C7" s="1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3">
        <v>276.51</v>
      </c>
      <c r="AD7" s="16"/>
    </row>
    <row r="8">
      <c r="A8" s="17"/>
      <c r="B8" s="18" t="s">
        <v>7</v>
      </c>
      <c r="C8" s="18" t="s">
        <v>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8" t="s">
        <v>9</v>
      </c>
      <c r="AC8" s="19" t="s">
        <v>10</v>
      </c>
      <c r="AD8" s="20"/>
    </row>
    <row r="9" hidden="1">
      <c r="A9" s="19" t="s">
        <v>11</v>
      </c>
      <c r="B9" s="21">
        <v>0.0</v>
      </c>
      <c r="C9" s="21">
        <v>1.0</v>
      </c>
      <c r="D9" s="21">
        <v>2.0</v>
      </c>
      <c r="E9" s="21">
        <v>3.0</v>
      </c>
      <c r="F9" s="21">
        <v>4.0</v>
      </c>
      <c r="G9" s="21">
        <v>5.0</v>
      </c>
      <c r="H9" s="21">
        <v>6.0</v>
      </c>
      <c r="I9" s="21">
        <v>7.0</v>
      </c>
      <c r="J9" s="21">
        <v>8.0</v>
      </c>
      <c r="K9" s="21">
        <v>9.0</v>
      </c>
      <c r="L9" s="21">
        <v>10.0</v>
      </c>
      <c r="M9" s="21">
        <v>11.0</v>
      </c>
      <c r="N9" s="21">
        <v>12.0</v>
      </c>
      <c r="O9" s="21">
        <v>13.0</v>
      </c>
      <c r="P9" s="21">
        <v>14.0</v>
      </c>
      <c r="Q9" s="21">
        <v>15.0</v>
      </c>
      <c r="R9" s="21">
        <v>16.0</v>
      </c>
      <c r="S9" s="21">
        <v>17.0</v>
      </c>
      <c r="T9" s="21">
        <v>18.0</v>
      </c>
      <c r="U9" s="21">
        <v>19.0</v>
      </c>
      <c r="V9" s="21">
        <v>20.0</v>
      </c>
      <c r="W9" s="21">
        <v>21.0</v>
      </c>
      <c r="X9" s="21">
        <v>22.0</v>
      </c>
      <c r="Y9" s="21">
        <v>23.0</v>
      </c>
      <c r="Z9" s="21">
        <v>24.0</v>
      </c>
      <c r="AA9" s="21">
        <v>25.0</v>
      </c>
      <c r="AB9" s="21"/>
      <c r="AC9" s="17"/>
      <c r="AD9" s="22"/>
    </row>
    <row r="10">
      <c r="A10" s="23" t="s">
        <v>12</v>
      </c>
      <c r="B10" s="19">
        <f>AC2-B12</f>
        <v>25085</v>
      </c>
      <c r="C10" s="19">
        <f t="shared" ref="C10:AA10" si="1">B10-C12</f>
        <v>24701.85395</v>
      </c>
      <c r="D10" s="21">
        <f t="shared" si="1"/>
        <v>24290.96813</v>
      </c>
      <c r="E10" s="21">
        <f t="shared" si="1"/>
        <v>23850.33417</v>
      </c>
      <c r="F10" s="21">
        <f t="shared" si="1"/>
        <v>23377.79832</v>
      </c>
      <c r="G10" s="21">
        <f t="shared" si="1"/>
        <v>22871.05087</v>
      </c>
      <c r="H10" s="21">
        <f t="shared" si="1"/>
        <v>22327.6149</v>
      </c>
      <c r="I10" s="21">
        <f t="shared" si="1"/>
        <v>21744.83417</v>
      </c>
      <c r="J10" s="21">
        <f t="shared" si="1"/>
        <v>21119.86012</v>
      </c>
      <c r="K10" s="21">
        <f t="shared" si="1"/>
        <v>20449.63794</v>
      </c>
      <c r="L10" s="21">
        <f t="shared" si="1"/>
        <v>19730.89168</v>
      </c>
      <c r="M10" s="21">
        <f t="shared" si="1"/>
        <v>18960.10819</v>
      </c>
      <c r="N10" s="21">
        <f t="shared" si="1"/>
        <v>18133.51997</v>
      </c>
      <c r="O10" s="21">
        <f t="shared" si="1"/>
        <v>17247.08677</v>
      </c>
      <c r="P10" s="21">
        <f t="shared" si="1"/>
        <v>16296.4758</v>
      </c>
      <c r="Q10" s="21">
        <f t="shared" si="1"/>
        <v>15277.0406</v>
      </c>
      <c r="R10" s="21">
        <f t="shared" si="1"/>
        <v>14183.79829</v>
      </c>
      <c r="S10" s="21">
        <f t="shared" si="1"/>
        <v>13011.40524</v>
      </c>
      <c r="T10" s="21">
        <f t="shared" si="1"/>
        <v>11754.13093</v>
      </c>
      <c r="U10" s="21">
        <f t="shared" si="1"/>
        <v>10405.82996</v>
      </c>
      <c r="V10" s="21">
        <f t="shared" si="1"/>
        <v>8959.912005</v>
      </c>
      <c r="W10" s="21">
        <f t="shared" si="1"/>
        <v>7409.309586</v>
      </c>
      <c r="X10" s="21">
        <f t="shared" si="1"/>
        <v>5746.443551</v>
      </c>
      <c r="Y10" s="21">
        <f t="shared" si="1"/>
        <v>3963.186016</v>
      </c>
      <c r="Z10" s="21">
        <f t="shared" si="1"/>
        <v>2050.820635</v>
      </c>
      <c r="AA10" s="21">
        <f t="shared" si="1"/>
        <v>0</v>
      </c>
      <c r="AB10" s="21"/>
      <c r="AC10" s="17"/>
      <c r="AD10" s="22"/>
    </row>
    <row r="11">
      <c r="A11" s="23" t="s">
        <v>13</v>
      </c>
      <c r="B11" s="21">
        <v>0.0</v>
      </c>
      <c r="C11" s="24">
        <f t="shared" ref="C11:AA11" si="2">B10*$AC$3</f>
        <v>1816.154</v>
      </c>
      <c r="D11" s="24">
        <f t="shared" si="2"/>
        <v>1788.414226</v>
      </c>
      <c r="E11" s="24">
        <f t="shared" si="2"/>
        <v>1758.666093</v>
      </c>
      <c r="F11" s="24">
        <f t="shared" si="2"/>
        <v>1726.764194</v>
      </c>
      <c r="G11" s="24">
        <f t="shared" si="2"/>
        <v>1692.552598</v>
      </c>
      <c r="H11" s="24">
        <f t="shared" si="2"/>
        <v>1655.864083</v>
      </c>
      <c r="I11" s="24">
        <f t="shared" si="2"/>
        <v>1616.519319</v>
      </c>
      <c r="J11" s="24">
        <f t="shared" si="2"/>
        <v>1574.325994</v>
      </c>
      <c r="K11" s="24">
        <f t="shared" si="2"/>
        <v>1529.077873</v>
      </c>
      <c r="L11" s="24">
        <f t="shared" si="2"/>
        <v>1480.553787</v>
      </c>
      <c r="M11" s="24">
        <f t="shared" si="2"/>
        <v>1428.516558</v>
      </c>
      <c r="N11" s="24">
        <f t="shared" si="2"/>
        <v>1372.711833</v>
      </c>
      <c r="O11" s="24">
        <f t="shared" si="2"/>
        <v>1312.866846</v>
      </c>
      <c r="P11" s="24">
        <f t="shared" si="2"/>
        <v>1248.689082</v>
      </c>
      <c r="Q11" s="24">
        <f t="shared" si="2"/>
        <v>1179.864848</v>
      </c>
      <c r="R11" s="24">
        <f t="shared" si="2"/>
        <v>1106.05774</v>
      </c>
      <c r="S11" s="24">
        <f t="shared" si="2"/>
        <v>1026.906997</v>
      </c>
      <c r="T11" s="24">
        <f t="shared" si="2"/>
        <v>942.0257396</v>
      </c>
      <c r="U11" s="24">
        <f t="shared" si="2"/>
        <v>850.9990796</v>
      </c>
      <c r="V11" s="24">
        <f t="shared" si="2"/>
        <v>753.3820894</v>
      </c>
      <c r="W11" s="24">
        <f t="shared" si="2"/>
        <v>648.6976292</v>
      </c>
      <c r="X11" s="24">
        <f t="shared" si="2"/>
        <v>536.434014</v>
      </c>
      <c r="Y11" s="24">
        <f t="shared" si="2"/>
        <v>416.0425131</v>
      </c>
      <c r="Z11" s="24">
        <f t="shared" si="2"/>
        <v>286.9346675</v>
      </c>
      <c r="AA11" s="24">
        <f t="shared" si="2"/>
        <v>148.479414</v>
      </c>
      <c r="AB11" s="25">
        <f t="shared" ref="AB11:AB13" si="4">-SUM(B11:AA11)</f>
        <v>-29897.50122</v>
      </c>
      <c r="AC11" s="26">
        <f t="shared" ref="AC11:AC13" si="5">-(B11+NPV($AC$4, C11:AA11))</f>
        <v>-17167.5128</v>
      </c>
      <c r="AD11" s="22"/>
    </row>
    <row r="12">
      <c r="A12" s="23" t="s">
        <v>14</v>
      </c>
      <c r="B12" s="21">
        <v>0.0</v>
      </c>
      <c r="C12" s="24">
        <f t="shared" ref="C12:AA12" si="3">IF(B10=0, 0, C13-C11)</f>
        <v>383.1460486</v>
      </c>
      <c r="D12" s="24">
        <f t="shared" si="3"/>
        <v>410.8858226</v>
      </c>
      <c r="E12" s="24">
        <f t="shared" si="3"/>
        <v>440.6339561</v>
      </c>
      <c r="F12" s="24">
        <f t="shared" si="3"/>
        <v>472.5358545</v>
      </c>
      <c r="G12" s="24">
        <f t="shared" si="3"/>
        <v>506.7474504</v>
      </c>
      <c r="H12" s="24">
        <f t="shared" si="3"/>
        <v>543.4359658</v>
      </c>
      <c r="I12" s="24">
        <f t="shared" si="3"/>
        <v>582.7807297</v>
      </c>
      <c r="J12" s="24">
        <f t="shared" si="3"/>
        <v>624.9740546</v>
      </c>
      <c r="K12" s="24">
        <f t="shared" si="3"/>
        <v>670.2221761</v>
      </c>
      <c r="L12" s="24">
        <f t="shared" si="3"/>
        <v>718.7462617</v>
      </c>
      <c r="M12" s="24">
        <f t="shared" si="3"/>
        <v>770.783491</v>
      </c>
      <c r="N12" s="24">
        <f t="shared" si="3"/>
        <v>826.5882158</v>
      </c>
      <c r="O12" s="24">
        <f t="shared" si="3"/>
        <v>886.4332026</v>
      </c>
      <c r="P12" s="24">
        <f t="shared" si="3"/>
        <v>950.6109664</v>
      </c>
      <c r="Q12" s="24">
        <f t="shared" si="3"/>
        <v>1019.4352</v>
      </c>
      <c r="R12" s="24">
        <f t="shared" si="3"/>
        <v>1093.242309</v>
      </c>
      <c r="S12" s="24">
        <f t="shared" si="3"/>
        <v>1172.393052</v>
      </c>
      <c r="T12" s="24">
        <f t="shared" si="3"/>
        <v>1257.274309</v>
      </c>
      <c r="U12" s="24">
        <f t="shared" si="3"/>
        <v>1348.300969</v>
      </c>
      <c r="V12" s="24">
        <f t="shared" si="3"/>
        <v>1445.917959</v>
      </c>
      <c r="W12" s="24">
        <f t="shared" si="3"/>
        <v>1550.602419</v>
      </c>
      <c r="X12" s="24">
        <f t="shared" si="3"/>
        <v>1662.866035</v>
      </c>
      <c r="Y12" s="24">
        <f t="shared" si="3"/>
        <v>1783.257536</v>
      </c>
      <c r="Z12" s="24">
        <f t="shared" si="3"/>
        <v>1912.365381</v>
      </c>
      <c r="AA12" s="24">
        <f t="shared" si="3"/>
        <v>2050.820635</v>
      </c>
      <c r="AB12" s="25">
        <f t="shared" si="4"/>
        <v>-25085</v>
      </c>
      <c r="AC12" s="26">
        <f t="shared" si="5"/>
        <v>-9909.298074</v>
      </c>
      <c r="AD12" s="22"/>
    </row>
    <row r="13">
      <c r="A13" s="23" t="s">
        <v>15</v>
      </c>
      <c r="B13" s="21">
        <f>B11+B12</f>
        <v>0</v>
      </c>
      <c r="C13" s="24">
        <f t="shared" ref="C13:AA13" si="6">ABS(PMT($AC$3,25,$B$10,0))</f>
        <v>2199.300049</v>
      </c>
      <c r="D13" s="24">
        <f t="shared" si="6"/>
        <v>2199.300049</v>
      </c>
      <c r="E13" s="24">
        <f t="shared" si="6"/>
        <v>2199.300049</v>
      </c>
      <c r="F13" s="24">
        <f t="shared" si="6"/>
        <v>2199.300049</v>
      </c>
      <c r="G13" s="24">
        <f t="shared" si="6"/>
        <v>2199.300049</v>
      </c>
      <c r="H13" s="24">
        <f t="shared" si="6"/>
        <v>2199.300049</v>
      </c>
      <c r="I13" s="24">
        <f t="shared" si="6"/>
        <v>2199.300049</v>
      </c>
      <c r="J13" s="24">
        <f t="shared" si="6"/>
        <v>2199.300049</v>
      </c>
      <c r="K13" s="24">
        <f t="shared" si="6"/>
        <v>2199.300049</v>
      </c>
      <c r="L13" s="24">
        <f t="shared" si="6"/>
        <v>2199.300049</v>
      </c>
      <c r="M13" s="24">
        <f t="shared" si="6"/>
        <v>2199.300049</v>
      </c>
      <c r="N13" s="24">
        <f t="shared" si="6"/>
        <v>2199.300049</v>
      </c>
      <c r="O13" s="24">
        <f t="shared" si="6"/>
        <v>2199.300049</v>
      </c>
      <c r="P13" s="24">
        <f t="shared" si="6"/>
        <v>2199.300049</v>
      </c>
      <c r="Q13" s="24">
        <f t="shared" si="6"/>
        <v>2199.300049</v>
      </c>
      <c r="R13" s="24">
        <f t="shared" si="6"/>
        <v>2199.300049</v>
      </c>
      <c r="S13" s="24">
        <f t="shared" si="6"/>
        <v>2199.300049</v>
      </c>
      <c r="T13" s="24">
        <f t="shared" si="6"/>
        <v>2199.300049</v>
      </c>
      <c r="U13" s="24">
        <f t="shared" si="6"/>
        <v>2199.300049</v>
      </c>
      <c r="V13" s="24">
        <f t="shared" si="6"/>
        <v>2199.300049</v>
      </c>
      <c r="W13" s="24">
        <f t="shared" si="6"/>
        <v>2199.300049</v>
      </c>
      <c r="X13" s="24">
        <f t="shared" si="6"/>
        <v>2199.300049</v>
      </c>
      <c r="Y13" s="24">
        <f t="shared" si="6"/>
        <v>2199.300049</v>
      </c>
      <c r="Z13" s="24">
        <f t="shared" si="6"/>
        <v>2199.300049</v>
      </c>
      <c r="AA13" s="24">
        <f t="shared" si="6"/>
        <v>2199.300049</v>
      </c>
      <c r="AB13" s="25">
        <f t="shared" si="4"/>
        <v>-54982.50122</v>
      </c>
      <c r="AC13" s="26">
        <f t="shared" si="5"/>
        <v>-27076.81088</v>
      </c>
      <c r="AD13" s="22"/>
    </row>
    <row r="14">
      <c r="A14" s="27" t="s">
        <v>16</v>
      </c>
      <c r="B14" s="21">
        <v>0.0</v>
      </c>
      <c r="C14" s="24">
        <v>1744.0</v>
      </c>
      <c r="D14" s="24">
        <v>1788.0</v>
      </c>
      <c r="E14" s="24">
        <v>1833.0</v>
      </c>
      <c r="F14" s="24">
        <v>1879.0</v>
      </c>
      <c r="G14" s="24">
        <v>1926.0</v>
      </c>
      <c r="H14" s="24">
        <v>1974.0</v>
      </c>
      <c r="I14" s="24">
        <v>2023.0</v>
      </c>
      <c r="J14" s="24">
        <v>2074.0</v>
      </c>
      <c r="K14" s="24">
        <v>2125.0</v>
      </c>
      <c r="L14" s="24">
        <v>2179.0</v>
      </c>
      <c r="M14" s="24">
        <v>2233.0</v>
      </c>
      <c r="N14" s="24">
        <v>2289.0</v>
      </c>
      <c r="O14" s="24">
        <v>2346.0</v>
      </c>
      <c r="P14" s="24">
        <v>2405.0</v>
      </c>
      <c r="Q14" s="24">
        <v>2465.0</v>
      </c>
      <c r="R14" s="24">
        <v>2527.0</v>
      </c>
      <c r="S14" s="24">
        <v>2590.0</v>
      </c>
      <c r="T14" s="24">
        <v>2654.0</v>
      </c>
      <c r="U14" s="24">
        <v>2721.0</v>
      </c>
      <c r="V14" s="24">
        <v>2789.0</v>
      </c>
      <c r="W14" s="24">
        <v>2859.0</v>
      </c>
      <c r="X14" s="24">
        <v>2930.0</v>
      </c>
      <c r="Y14" s="24">
        <v>3003.0</v>
      </c>
      <c r="Z14" s="24">
        <v>3078.0</v>
      </c>
      <c r="AA14" s="24">
        <v>3155.0</v>
      </c>
      <c r="AB14" s="24"/>
      <c r="AC14" s="28">
        <f t="array" ref="AC14">B14+NPV($AC$4,C14:AA14)</f>
        <v>27145.46781</v>
      </c>
      <c r="AD14" s="22"/>
    </row>
    <row r="15">
      <c r="A15" s="27" t="s">
        <v>17</v>
      </c>
      <c r="B15" s="21">
        <v>0.0</v>
      </c>
      <c r="C15" s="24">
        <v>1113.0</v>
      </c>
      <c r="D15" s="24">
        <v>1143.0</v>
      </c>
      <c r="E15" s="24">
        <v>1174.0</v>
      </c>
      <c r="F15" s="24">
        <v>1206.0</v>
      </c>
      <c r="G15" s="24">
        <v>1239.0</v>
      </c>
      <c r="H15" s="24">
        <v>1272.0</v>
      </c>
      <c r="I15" s="24">
        <v>1306.0</v>
      </c>
      <c r="J15" s="24">
        <v>1342.0</v>
      </c>
      <c r="K15" s="24">
        <v>1378.0</v>
      </c>
      <c r="L15" s="24">
        <v>1415.0</v>
      </c>
      <c r="M15" s="24">
        <v>1454.0</v>
      </c>
      <c r="N15" s="24">
        <v>1493.0</v>
      </c>
      <c r="O15" s="24">
        <v>1533.0</v>
      </c>
      <c r="P15" s="24">
        <v>1574.0</v>
      </c>
      <c r="Q15" s="24">
        <v>1617.0</v>
      </c>
      <c r="R15" s="24">
        <v>1660.0</v>
      </c>
      <c r="S15" s="24">
        <v>1705.0</v>
      </c>
      <c r="T15" s="24">
        <v>1751.0</v>
      </c>
      <c r="U15" s="24">
        <v>1798.0</v>
      </c>
      <c r="V15" s="24">
        <v>1847.0</v>
      </c>
      <c r="W15" s="24">
        <v>1896.0</v>
      </c>
      <c r="X15" s="24">
        <v>1947.0</v>
      </c>
      <c r="Y15" s="24">
        <v>2000.0</v>
      </c>
      <c r="Z15" s="24">
        <v>2054.0</v>
      </c>
      <c r="AA15" s="24">
        <v>2109.0</v>
      </c>
      <c r="AB15" s="24"/>
      <c r="AC15" s="28">
        <f t="shared" ref="AC15:AC18" si="8">B15+NPV($AC$4, C15:AA15)</f>
        <v>17668.5864</v>
      </c>
      <c r="AD15" s="22"/>
    </row>
    <row r="16">
      <c r="A16" s="27" t="s">
        <v>18</v>
      </c>
      <c r="B16" s="21">
        <v>0.0</v>
      </c>
      <c r="C16" s="24">
        <f>C14-C15+$AC$7</f>
        <v>907.51</v>
      </c>
      <c r="D16" s="24">
        <f t="shared" ref="D16:AA16" si="7">D14-D15</f>
        <v>645</v>
      </c>
      <c r="E16" s="24">
        <f t="shared" si="7"/>
        <v>659</v>
      </c>
      <c r="F16" s="24">
        <f t="shared" si="7"/>
        <v>673</v>
      </c>
      <c r="G16" s="24">
        <f t="shared" si="7"/>
        <v>687</v>
      </c>
      <c r="H16" s="24">
        <f t="shared" si="7"/>
        <v>702</v>
      </c>
      <c r="I16" s="24">
        <f t="shared" si="7"/>
        <v>717</v>
      </c>
      <c r="J16" s="24">
        <f t="shared" si="7"/>
        <v>732</v>
      </c>
      <c r="K16" s="24">
        <f t="shared" si="7"/>
        <v>747</v>
      </c>
      <c r="L16" s="24">
        <f t="shared" si="7"/>
        <v>764</v>
      </c>
      <c r="M16" s="24">
        <f t="shared" si="7"/>
        <v>779</v>
      </c>
      <c r="N16" s="24">
        <f t="shared" si="7"/>
        <v>796</v>
      </c>
      <c r="O16" s="24">
        <f t="shared" si="7"/>
        <v>813</v>
      </c>
      <c r="P16" s="24">
        <f t="shared" si="7"/>
        <v>831</v>
      </c>
      <c r="Q16" s="24">
        <f t="shared" si="7"/>
        <v>848</v>
      </c>
      <c r="R16" s="24">
        <f t="shared" si="7"/>
        <v>867</v>
      </c>
      <c r="S16" s="24">
        <f t="shared" si="7"/>
        <v>885</v>
      </c>
      <c r="T16" s="24">
        <f t="shared" si="7"/>
        <v>903</v>
      </c>
      <c r="U16" s="24">
        <f t="shared" si="7"/>
        <v>923</v>
      </c>
      <c r="V16" s="24">
        <f t="shared" si="7"/>
        <v>942</v>
      </c>
      <c r="W16" s="24">
        <f t="shared" si="7"/>
        <v>963</v>
      </c>
      <c r="X16" s="24">
        <f t="shared" si="7"/>
        <v>983</v>
      </c>
      <c r="Y16" s="24">
        <f t="shared" si="7"/>
        <v>1003</v>
      </c>
      <c r="Z16" s="24">
        <f t="shared" si="7"/>
        <v>1024</v>
      </c>
      <c r="AA16" s="24">
        <f t="shared" si="7"/>
        <v>1046</v>
      </c>
      <c r="AB16" s="24">
        <f t="shared" ref="AB16:AB18" si="9">SUM(B16:AA16)</f>
        <v>20839.51</v>
      </c>
      <c r="AC16" s="28">
        <f t="shared" si="8"/>
        <v>9736.759227</v>
      </c>
      <c r="AD16" s="22"/>
    </row>
    <row r="17">
      <c r="A17" s="29" t="s">
        <v>19</v>
      </c>
      <c r="B17" s="21">
        <v>0.0</v>
      </c>
      <c r="C17" s="24">
        <v>0.0</v>
      </c>
      <c r="D17" s="24">
        <v>0.0</v>
      </c>
      <c r="E17" s="24">
        <v>0.0</v>
      </c>
      <c r="F17" s="24">
        <v>0.0</v>
      </c>
      <c r="G17" s="24">
        <v>0.0</v>
      </c>
      <c r="H17" s="24">
        <v>0.0</v>
      </c>
      <c r="I17" s="24">
        <v>0.0</v>
      </c>
      <c r="J17" s="24">
        <v>0.0</v>
      </c>
      <c r="K17" s="24">
        <v>0.0</v>
      </c>
      <c r="L17" s="24">
        <v>0.0</v>
      </c>
      <c r="M17" s="24">
        <v>0.0</v>
      </c>
      <c r="N17" s="24">
        <v>0.0</v>
      </c>
      <c r="O17" s="24">
        <v>0.0</v>
      </c>
      <c r="P17" s="24">
        <v>0.0</v>
      </c>
      <c r="Q17" s="24">
        <v>0.0</v>
      </c>
      <c r="R17" s="24">
        <v>0.0</v>
      </c>
      <c r="S17" s="24">
        <v>0.0</v>
      </c>
      <c r="T17" s="24">
        <v>0.0</v>
      </c>
      <c r="U17" s="24">
        <v>0.0</v>
      </c>
      <c r="V17" s="24">
        <v>0.0</v>
      </c>
      <c r="W17" s="24">
        <v>0.0</v>
      </c>
      <c r="X17" s="24">
        <v>0.0</v>
      </c>
      <c r="Y17" s="24">
        <v>0.0</v>
      </c>
      <c r="Z17" s="24">
        <v>0.0</v>
      </c>
      <c r="AA17" s="24">
        <v>0.0</v>
      </c>
      <c r="AB17" s="24">
        <f t="shared" si="9"/>
        <v>0</v>
      </c>
      <c r="AC17" s="28">
        <f t="shared" si="8"/>
        <v>0</v>
      </c>
      <c r="AD17" s="16"/>
    </row>
    <row r="18">
      <c r="A18" s="30" t="s">
        <v>20</v>
      </c>
      <c r="B18" s="31">
        <f t="shared" ref="B18:AA18" si="10">B16+B17</f>
        <v>0</v>
      </c>
      <c r="C18" s="28">
        <f t="shared" si="10"/>
        <v>907.51</v>
      </c>
      <c r="D18" s="28">
        <f t="shared" si="10"/>
        <v>645</v>
      </c>
      <c r="E18" s="28">
        <f t="shared" si="10"/>
        <v>659</v>
      </c>
      <c r="F18" s="28">
        <f t="shared" si="10"/>
        <v>673</v>
      </c>
      <c r="G18" s="28">
        <f t="shared" si="10"/>
        <v>687</v>
      </c>
      <c r="H18" s="28">
        <f t="shared" si="10"/>
        <v>702</v>
      </c>
      <c r="I18" s="28">
        <f t="shared" si="10"/>
        <v>717</v>
      </c>
      <c r="J18" s="28">
        <f t="shared" si="10"/>
        <v>732</v>
      </c>
      <c r="K18" s="28">
        <f t="shared" si="10"/>
        <v>747</v>
      </c>
      <c r="L18" s="28">
        <f t="shared" si="10"/>
        <v>764</v>
      </c>
      <c r="M18" s="28">
        <f t="shared" si="10"/>
        <v>779</v>
      </c>
      <c r="N18" s="28">
        <f t="shared" si="10"/>
        <v>796</v>
      </c>
      <c r="O18" s="28">
        <f t="shared" si="10"/>
        <v>813</v>
      </c>
      <c r="P18" s="28">
        <f t="shared" si="10"/>
        <v>831</v>
      </c>
      <c r="Q18" s="28">
        <f t="shared" si="10"/>
        <v>848</v>
      </c>
      <c r="R18" s="28">
        <f t="shared" si="10"/>
        <v>867</v>
      </c>
      <c r="S18" s="28">
        <f t="shared" si="10"/>
        <v>885</v>
      </c>
      <c r="T18" s="28">
        <f t="shared" si="10"/>
        <v>903</v>
      </c>
      <c r="U18" s="28">
        <f t="shared" si="10"/>
        <v>923</v>
      </c>
      <c r="V18" s="28">
        <f t="shared" si="10"/>
        <v>942</v>
      </c>
      <c r="W18" s="28">
        <f t="shared" si="10"/>
        <v>963</v>
      </c>
      <c r="X18" s="28">
        <f t="shared" si="10"/>
        <v>983</v>
      </c>
      <c r="Y18" s="28">
        <f t="shared" si="10"/>
        <v>1003</v>
      </c>
      <c r="Z18" s="28">
        <f t="shared" si="10"/>
        <v>1024</v>
      </c>
      <c r="AA18" s="28">
        <f t="shared" si="10"/>
        <v>1046</v>
      </c>
      <c r="AB18" s="24">
        <f t="shared" si="9"/>
        <v>20839.51</v>
      </c>
      <c r="AC18" s="28">
        <f t="shared" si="8"/>
        <v>9736.759227</v>
      </c>
      <c r="AD18" s="32"/>
    </row>
    <row r="19">
      <c r="A19" s="18" t="s">
        <v>21</v>
      </c>
      <c r="B19" s="17"/>
      <c r="C19" s="33">
        <f t="shared" ref="C19:AA19" si="11">C18-C13</f>
        <v>-1291.790049</v>
      </c>
      <c r="D19" s="34">
        <f t="shared" si="11"/>
        <v>-1554.300049</v>
      </c>
      <c r="E19" s="34">
        <f t="shared" si="11"/>
        <v>-1540.300049</v>
      </c>
      <c r="F19" s="34">
        <f t="shared" si="11"/>
        <v>-1526.300049</v>
      </c>
      <c r="G19" s="34">
        <f t="shared" si="11"/>
        <v>-1512.300049</v>
      </c>
      <c r="H19" s="34">
        <f t="shared" si="11"/>
        <v>-1497.300049</v>
      </c>
      <c r="I19" s="34">
        <f t="shared" si="11"/>
        <v>-1482.300049</v>
      </c>
      <c r="J19" s="34">
        <f t="shared" si="11"/>
        <v>-1467.300049</v>
      </c>
      <c r="K19" s="34">
        <f t="shared" si="11"/>
        <v>-1452.300049</v>
      </c>
      <c r="L19" s="34">
        <f t="shared" si="11"/>
        <v>-1435.300049</v>
      </c>
      <c r="M19" s="34">
        <f t="shared" si="11"/>
        <v>-1420.300049</v>
      </c>
      <c r="N19" s="34">
        <f t="shared" si="11"/>
        <v>-1403.300049</v>
      </c>
      <c r="O19" s="34">
        <f t="shared" si="11"/>
        <v>-1386.300049</v>
      </c>
      <c r="P19" s="34">
        <f t="shared" si="11"/>
        <v>-1368.300049</v>
      </c>
      <c r="Q19" s="34">
        <f t="shared" si="11"/>
        <v>-1351.300049</v>
      </c>
      <c r="R19" s="34">
        <f t="shared" si="11"/>
        <v>-1332.300049</v>
      </c>
      <c r="S19" s="34">
        <f t="shared" si="11"/>
        <v>-1314.300049</v>
      </c>
      <c r="T19" s="34">
        <f t="shared" si="11"/>
        <v>-1296.300049</v>
      </c>
      <c r="U19" s="34">
        <f t="shared" si="11"/>
        <v>-1276.300049</v>
      </c>
      <c r="V19" s="34">
        <f t="shared" si="11"/>
        <v>-1257.300049</v>
      </c>
      <c r="W19" s="34">
        <f t="shared" si="11"/>
        <v>-1236.300049</v>
      </c>
      <c r="X19" s="34">
        <f t="shared" si="11"/>
        <v>-1216.300049</v>
      </c>
      <c r="Y19" s="34">
        <f t="shared" si="11"/>
        <v>-1196.300049</v>
      </c>
      <c r="Z19" s="34">
        <f t="shared" si="11"/>
        <v>-1175.300049</v>
      </c>
      <c r="AA19" s="34">
        <f t="shared" si="11"/>
        <v>-1153.300049</v>
      </c>
      <c r="AB19" s="35">
        <f t="shared" ref="AB19:AC19" si="12">AB18+AB13</f>
        <v>-34142.99122</v>
      </c>
      <c r="AC19" s="35">
        <f t="shared" si="12"/>
        <v>-17340.05165</v>
      </c>
      <c r="AD19" s="20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>
      <c r="A22" s="36" t="s">
        <v>22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8"/>
      <c r="AC22" s="38"/>
      <c r="AD22" s="4"/>
    </row>
    <row r="23">
      <c r="A23" s="39" t="s">
        <v>1</v>
      </c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0"/>
      <c r="AC23" s="42">
        <v>25085.0</v>
      </c>
      <c r="AD23" s="20"/>
    </row>
    <row r="24">
      <c r="A24" s="39" t="s">
        <v>2</v>
      </c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0"/>
      <c r="AC24" s="43">
        <v>0.0724</v>
      </c>
      <c r="AD24" s="20"/>
    </row>
    <row r="25">
      <c r="A25" s="39" t="s">
        <v>3</v>
      </c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0"/>
      <c r="AC25" s="43">
        <v>0.064</v>
      </c>
      <c r="AD25" s="20"/>
    </row>
    <row r="26">
      <c r="A26" s="44" t="s">
        <v>4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5">
        <f>AC23*0.3</f>
        <v>7525.5</v>
      </c>
      <c r="AD26" s="20"/>
    </row>
    <row r="27">
      <c r="A27" s="44" t="s">
        <v>5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5">
        <v>7477.2</v>
      </c>
      <c r="AD27" s="20"/>
    </row>
    <row r="28">
      <c r="A28" s="44" t="s">
        <v>6</v>
      </c>
      <c r="B28" s="46"/>
      <c r="C28" s="46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5">
        <v>276.51</v>
      </c>
      <c r="AD28" s="20"/>
    </row>
    <row r="29">
      <c r="A29" s="47"/>
      <c r="B29" s="48" t="s">
        <v>7</v>
      </c>
      <c r="C29" s="48" t="s">
        <v>8</v>
      </c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8" t="s">
        <v>9</v>
      </c>
      <c r="AC29" s="49" t="s">
        <v>10</v>
      </c>
      <c r="AD29" s="20"/>
    </row>
    <row r="30" hidden="1">
      <c r="A30" s="49" t="s">
        <v>11</v>
      </c>
      <c r="B30" s="50">
        <v>0.0</v>
      </c>
      <c r="C30" s="50">
        <v>1.0</v>
      </c>
      <c r="D30" s="50">
        <v>2.0</v>
      </c>
      <c r="E30" s="50">
        <v>3.0</v>
      </c>
      <c r="F30" s="50">
        <v>4.0</v>
      </c>
      <c r="G30" s="50">
        <v>5.0</v>
      </c>
      <c r="H30" s="50">
        <v>6.0</v>
      </c>
      <c r="I30" s="50">
        <v>7.0</v>
      </c>
      <c r="J30" s="50">
        <v>8.0</v>
      </c>
      <c r="K30" s="50">
        <v>9.0</v>
      </c>
      <c r="L30" s="50">
        <v>10.0</v>
      </c>
      <c r="M30" s="50">
        <v>11.0</v>
      </c>
      <c r="N30" s="50">
        <v>12.0</v>
      </c>
      <c r="O30" s="50">
        <v>13.0</v>
      </c>
      <c r="P30" s="50">
        <v>14.0</v>
      </c>
      <c r="Q30" s="50">
        <v>15.0</v>
      </c>
      <c r="R30" s="50">
        <v>16.0</v>
      </c>
      <c r="S30" s="50">
        <v>17.0</v>
      </c>
      <c r="T30" s="50">
        <v>18.0</v>
      </c>
      <c r="U30" s="50">
        <v>19.0</v>
      </c>
      <c r="V30" s="50">
        <v>20.0</v>
      </c>
      <c r="W30" s="50">
        <v>21.0</v>
      </c>
      <c r="X30" s="50">
        <v>22.0</v>
      </c>
      <c r="Y30" s="50">
        <v>23.0</v>
      </c>
      <c r="Z30" s="50">
        <v>24.0</v>
      </c>
      <c r="AA30" s="50">
        <v>25.0</v>
      </c>
      <c r="AB30" s="50"/>
      <c r="AC30" s="47"/>
      <c r="AD30" s="22"/>
    </row>
    <row r="31">
      <c r="A31" s="51" t="s">
        <v>12</v>
      </c>
      <c r="B31" s="49">
        <f>AC23-B39</f>
        <v>10082.3</v>
      </c>
      <c r="C31" s="49">
        <f t="shared" ref="C31:AA31" si="13">B31-C33</f>
        <v>9928.303851</v>
      </c>
      <c r="D31" s="50">
        <f t="shared" si="13"/>
        <v>9763.15838</v>
      </c>
      <c r="E31" s="50">
        <f t="shared" si="13"/>
        <v>9586.056377</v>
      </c>
      <c r="F31" s="50">
        <f t="shared" si="13"/>
        <v>9396.13219</v>
      </c>
      <c r="G31" s="50">
        <f t="shared" si="13"/>
        <v>9192.457491</v>
      </c>
      <c r="H31" s="50">
        <f t="shared" si="13"/>
        <v>8974.036744</v>
      </c>
      <c r="I31" s="50">
        <f t="shared" si="13"/>
        <v>8739.802335</v>
      </c>
      <c r="J31" s="50">
        <f t="shared" si="13"/>
        <v>8488.609355</v>
      </c>
      <c r="K31" s="50">
        <f t="shared" si="13"/>
        <v>8219.230003</v>
      </c>
      <c r="L31" s="50">
        <f t="shared" si="13"/>
        <v>7930.347586</v>
      </c>
      <c r="M31" s="50">
        <f t="shared" si="13"/>
        <v>7620.550081</v>
      </c>
      <c r="N31" s="50">
        <f t="shared" si="13"/>
        <v>7288.323238</v>
      </c>
      <c r="O31" s="50">
        <f t="shared" si="13"/>
        <v>6932.043171</v>
      </c>
      <c r="P31" s="50">
        <f t="shared" si="13"/>
        <v>6549.968427</v>
      </c>
      <c r="Q31" s="50">
        <f t="shared" si="13"/>
        <v>6140.231472</v>
      </c>
      <c r="R31" s="50">
        <f t="shared" si="13"/>
        <v>5700.829561</v>
      </c>
      <c r="S31" s="50">
        <f t="shared" si="13"/>
        <v>5229.614952</v>
      </c>
      <c r="T31" s="50">
        <f t="shared" si="13"/>
        <v>4724.284405</v>
      </c>
      <c r="U31" s="50">
        <f t="shared" si="13"/>
        <v>4182.367927</v>
      </c>
      <c r="V31" s="50">
        <f t="shared" si="13"/>
        <v>3601.216696</v>
      </c>
      <c r="W31" s="50">
        <f t="shared" si="13"/>
        <v>2977.990115</v>
      </c>
      <c r="X31" s="50">
        <f t="shared" si="13"/>
        <v>2309.64193</v>
      </c>
      <c r="Y31" s="50">
        <f t="shared" si="13"/>
        <v>1592.905337</v>
      </c>
      <c r="Z31" s="50">
        <f t="shared" si="13"/>
        <v>824.2770136</v>
      </c>
      <c r="AA31" s="50">
        <f t="shared" si="13"/>
        <v>0</v>
      </c>
      <c r="AB31" s="50"/>
      <c r="AC31" s="47"/>
      <c r="AD31" s="22"/>
    </row>
    <row r="32">
      <c r="A32" s="52" t="s">
        <v>13</v>
      </c>
      <c r="B32" s="53">
        <v>0.0</v>
      </c>
      <c r="C32" s="53">
        <f t="shared" ref="C32:AA32" si="14">B31*$AC$24</f>
        <v>729.95852</v>
      </c>
      <c r="D32" s="50">
        <f t="shared" si="14"/>
        <v>718.8091988</v>
      </c>
      <c r="E32" s="50">
        <f t="shared" si="14"/>
        <v>706.8526667</v>
      </c>
      <c r="F32" s="50">
        <f t="shared" si="14"/>
        <v>694.0304817</v>
      </c>
      <c r="G32" s="50">
        <f t="shared" si="14"/>
        <v>680.2799705</v>
      </c>
      <c r="H32" s="50">
        <f t="shared" si="14"/>
        <v>665.5339224</v>
      </c>
      <c r="I32" s="50">
        <f t="shared" si="14"/>
        <v>649.7202603</v>
      </c>
      <c r="J32" s="50">
        <f t="shared" si="14"/>
        <v>632.7616891</v>
      </c>
      <c r="K32" s="50">
        <f t="shared" si="14"/>
        <v>614.5753173</v>
      </c>
      <c r="L32" s="50">
        <f t="shared" si="14"/>
        <v>595.0722522</v>
      </c>
      <c r="M32" s="50">
        <f t="shared" si="14"/>
        <v>574.1571652</v>
      </c>
      <c r="N32" s="50">
        <f t="shared" si="14"/>
        <v>551.7278259</v>
      </c>
      <c r="O32" s="50">
        <f t="shared" si="14"/>
        <v>527.6746024</v>
      </c>
      <c r="P32" s="50">
        <f t="shared" si="14"/>
        <v>501.8799256</v>
      </c>
      <c r="Q32" s="50">
        <f t="shared" si="14"/>
        <v>474.2177141</v>
      </c>
      <c r="R32" s="50">
        <f t="shared" si="14"/>
        <v>444.5527586</v>
      </c>
      <c r="S32" s="50">
        <f t="shared" si="14"/>
        <v>412.7400602</v>
      </c>
      <c r="T32" s="50">
        <f t="shared" si="14"/>
        <v>378.6241225</v>
      </c>
      <c r="U32" s="50">
        <f t="shared" si="14"/>
        <v>342.038191</v>
      </c>
      <c r="V32" s="50">
        <f t="shared" si="14"/>
        <v>302.8034379</v>
      </c>
      <c r="W32" s="50">
        <f t="shared" si="14"/>
        <v>260.7280888</v>
      </c>
      <c r="X32" s="50">
        <f t="shared" si="14"/>
        <v>215.6064843</v>
      </c>
      <c r="Y32" s="50">
        <f t="shared" si="14"/>
        <v>167.2180757</v>
      </c>
      <c r="Z32" s="50">
        <f t="shared" si="14"/>
        <v>115.3263464</v>
      </c>
      <c r="AA32" s="50">
        <f t="shared" si="14"/>
        <v>59.67765578</v>
      </c>
      <c r="AB32" s="54">
        <f t="shared" ref="AB32:AB34" si="16">-SUM(B32:AA32)</f>
        <v>-12016.56673</v>
      </c>
      <c r="AC32" s="55">
        <f t="shared" ref="AC32:AC34" si="17">-(B32+NPV($AC$4, C32:AA32))</f>
        <v>-6900.060368</v>
      </c>
      <c r="AD32" s="22"/>
    </row>
    <row r="33">
      <c r="A33" s="52" t="s">
        <v>14</v>
      </c>
      <c r="B33" s="53">
        <v>0.0</v>
      </c>
      <c r="C33" s="53">
        <f t="shared" ref="C33:AA33" si="15">IF(B31=0, 0, C34-C32)</f>
        <v>153.9961493</v>
      </c>
      <c r="D33" s="50">
        <f t="shared" si="15"/>
        <v>165.1454705</v>
      </c>
      <c r="E33" s="50">
        <f t="shared" si="15"/>
        <v>177.1020026</v>
      </c>
      <c r="F33" s="50">
        <f t="shared" si="15"/>
        <v>189.9241876</v>
      </c>
      <c r="G33" s="50">
        <f t="shared" si="15"/>
        <v>203.6746988</v>
      </c>
      <c r="H33" s="50">
        <f t="shared" si="15"/>
        <v>218.420747</v>
      </c>
      <c r="I33" s="50">
        <f t="shared" si="15"/>
        <v>234.2344091</v>
      </c>
      <c r="J33" s="50">
        <f t="shared" si="15"/>
        <v>251.1929803</v>
      </c>
      <c r="K33" s="50">
        <f t="shared" si="15"/>
        <v>269.3793521</v>
      </c>
      <c r="L33" s="50">
        <f t="shared" si="15"/>
        <v>288.8824171</v>
      </c>
      <c r="M33" s="50">
        <f t="shared" si="15"/>
        <v>309.7975041</v>
      </c>
      <c r="N33" s="50">
        <f t="shared" si="15"/>
        <v>332.2268434</v>
      </c>
      <c r="O33" s="50">
        <f t="shared" si="15"/>
        <v>356.2800669</v>
      </c>
      <c r="P33" s="50">
        <f t="shared" si="15"/>
        <v>382.0747438</v>
      </c>
      <c r="Q33" s="50">
        <f t="shared" si="15"/>
        <v>409.7369552</v>
      </c>
      <c r="R33" s="50">
        <f t="shared" si="15"/>
        <v>439.4019108</v>
      </c>
      <c r="S33" s="50">
        <f t="shared" si="15"/>
        <v>471.2146091</v>
      </c>
      <c r="T33" s="50">
        <f t="shared" si="15"/>
        <v>505.3305468</v>
      </c>
      <c r="U33" s="50">
        <f t="shared" si="15"/>
        <v>541.9164784</v>
      </c>
      <c r="V33" s="50">
        <f t="shared" si="15"/>
        <v>581.1512314</v>
      </c>
      <c r="W33" s="50">
        <f t="shared" si="15"/>
        <v>623.2265806</v>
      </c>
      <c r="X33" s="50">
        <f t="shared" si="15"/>
        <v>668.348185</v>
      </c>
      <c r="Y33" s="50">
        <f t="shared" si="15"/>
        <v>716.7365936</v>
      </c>
      <c r="Z33" s="50">
        <f t="shared" si="15"/>
        <v>768.628323</v>
      </c>
      <c r="AA33" s="50">
        <f t="shared" si="15"/>
        <v>824.2770136</v>
      </c>
      <c r="AB33" s="54">
        <f t="shared" si="16"/>
        <v>-10082.3</v>
      </c>
      <c r="AC33" s="55">
        <f t="shared" si="17"/>
        <v>-3982.799122</v>
      </c>
      <c r="AD33" s="22"/>
    </row>
    <row r="34">
      <c r="A34" s="51" t="s">
        <v>15</v>
      </c>
      <c r="B34" s="53">
        <f>B32+B33</f>
        <v>0</v>
      </c>
      <c r="C34" s="53">
        <f t="shared" ref="C34:AA34" si="18">ABS(PMT($AC$24,25,$B$31,0))</f>
        <v>883.9546693</v>
      </c>
      <c r="D34" s="50">
        <f t="shared" si="18"/>
        <v>883.9546693</v>
      </c>
      <c r="E34" s="50">
        <f t="shared" si="18"/>
        <v>883.9546693</v>
      </c>
      <c r="F34" s="50">
        <f t="shared" si="18"/>
        <v>883.9546693</v>
      </c>
      <c r="G34" s="50">
        <f t="shared" si="18"/>
        <v>883.9546693</v>
      </c>
      <c r="H34" s="50">
        <f t="shared" si="18"/>
        <v>883.9546693</v>
      </c>
      <c r="I34" s="50">
        <f t="shared" si="18"/>
        <v>883.9546693</v>
      </c>
      <c r="J34" s="50">
        <f t="shared" si="18"/>
        <v>883.9546693</v>
      </c>
      <c r="K34" s="50">
        <f t="shared" si="18"/>
        <v>883.9546693</v>
      </c>
      <c r="L34" s="50">
        <f t="shared" si="18"/>
        <v>883.9546693</v>
      </c>
      <c r="M34" s="50">
        <f t="shared" si="18"/>
        <v>883.9546693</v>
      </c>
      <c r="N34" s="50">
        <f t="shared" si="18"/>
        <v>883.9546693</v>
      </c>
      <c r="O34" s="50">
        <f t="shared" si="18"/>
        <v>883.9546693</v>
      </c>
      <c r="P34" s="50">
        <f t="shared" si="18"/>
        <v>883.9546693</v>
      </c>
      <c r="Q34" s="50">
        <f t="shared" si="18"/>
        <v>883.9546693</v>
      </c>
      <c r="R34" s="50">
        <f t="shared" si="18"/>
        <v>883.9546693</v>
      </c>
      <c r="S34" s="50">
        <f t="shared" si="18"/>
        <v>883.9546693</v>
      </c>
      <c r="T34" s="50">
        <f t="shared" si="18"/>
        <v>883.9546693</v>
      </c>
      <c r="U34" s="50">
        <f t="shared" si="18"/>
        <v>883.9546693</v>
      </c>
      <c r="V34" s="50">
        <f t="shared" si="18"/>
        <v>883.9546693</v>
      </c>
      <c r="W34" s="50">
        <f t="shared" si="18"/>
        <v>883.9546693</v>
      </c>
      <c r="X34" s="50">
        <f t="shared" si="18"/>
        <v>883.9546693</v>
      </c>
      <c r="Y34" s="50">
        <f t="shared" si="18"/>
        <v>883.9546693</v>
      </c>
      <c r="Z34" s="50">
        <f t="shared" si="18"/>
        <v>883.9546693</v>
      </c>
      <c r="AA34" s="50">
        <f t="shared" si="18"/>
        <v>883.9546693</v>
      </c>
      <c r="AB34" s="54">
        <f t="shared" si="16"/>
        <v>-22098.86673</v>
      </c>
      <c r="AC34" s="55">
        <f t="shared" si="17"/>
        <v>-10882.85949</v>
      </c>
      <c r="AD34" s="22"/>
    </row>
    <row r="35">
      <c r="A35" s="56" t="s">
        <v>16</v>
      </c>
      <c r="B35" s="50">
        <v>0.0</v>
      </c>
      <c r="C35" s="53">
        <v>1744.0</v>
      </c>
      <c r="D35" s="53">
        <v>1788.0</v>
      </c>
      <c r="E35" s="53">
        <v>1833.0</v>
      </c>
      <c r="F35" s="53">
        <v>1879.0</v>
      </c>
      <c r="G35" s="53">
        <v>1926.0</v>
      </c>
      <c r="H35" s="53">
        <v>1974.0</v>
      </c>
      <c r="I35" s="53">
        <v>2023.0</v>
      </c>
      <c r="J35" s="53">
        <v>2074.0</v>
      </c>
      <c r="K35" s="53">
        <v>2125.0</v>
      </c>
      <c r="L35" s="53">
        <v>2179.0</v>
      </c>
      <c r="M35" s="53">
        <v>2233.0</v>
      </c>
      <c r="N35" s="53">
        <v>2289.0</v>
      </c>
      <c r="O35" s="53">
        <v>2346.0</v>
      </c>
      <c r="P35" s="53">
        <v>2405.0</v>
      </c>
      <c r="Q35" s="53">
        <v>2465.0</v>
      </c>
      <c r="R35" s="53">
        <v>2527.0</v>
      </c>
      <c r="S35" s="53">
        <v>2590.0</v>
      </c>
      <c r="T35" s="53">
        <v>2654.0</v>
      </c>
      <c r="U35" s="53">
        <v>2721.0</v>
      </c>
      <c r="V35" s="53">
        <v>2789.0</v>
      </c>
      <c r="W35" s="53">
        <v>2859.0</v>
      </c>
      <c r="X35" s="53">
        <v>2930.0</v>
      </c>
      <c r="Y35" s="53">
        <v>3003.0</v>
      </c>
      <c r="Z35" s="53">
        <v>3078.0</v>
      </c>
      <c r="AA35" s="53">
        <v>3155.0</v>
      </c>
      <c r="AB35" s="53"/>
      <c r="AC35" s="57">
        <f t="shared" ref="AC35:AC36" si="19">NPV($AC$3, C35:AA35)</f>
        <v>24917.35019</v>
      </c>
      <c r="AD35" s="22"/>
    </row>
    <row r="36">
      <c r="A36" s="56" t="s">
        <v>17</v>
      </c>
      <c r="B36" s="50">
        <v>0.0</v>
      </c>
      <c r="C36" s="53">
        <v>1113.0</v>
      </c>
      <c r="D36" s="53">
        <v>1143.0</v>
      </c>
      <c r="E36" s="53">
        <v>1174.0</v>
      </c>
      <c r="F36" s="53">
        <v>1206.0</v>
      </c>
      <c r="G36" s="53">
        <v>1239.0</v>
      </c>
      <c r="H36" s="53">
        <v>1272.0</v>
      </c>
      <c r="I36" s="53">
        <v>1306.0</v>
      </c>
      <c r="J36" s="53">
        <v>1342.0</v>
      </c>
      <c r="K36" s="53">
        <v>1378.0</v>
      </c>
      <c r="L36" s="53">
        <v>1415.0</v>
      </c>
      <c r="M36" s="53">
        <v>1454.0</v>
      </c>
      <c r="N36" s="53">
        <v>1493.0</v>
      </c>
      <c r="O36" s="53">
        <v>1533.0</v>
      </c>
      <c r="P36" s="53">
        <v>1574.0</v>
      </c>
      <c r="Q36" s="53">
        <v>1617.0</v>
      </c>
      <c r="R36" s="53">
        <v>1660.0</v>
      </c>
      <c r="S36" s="53">
        <v>1705.0</v>
      </c>
      <c r="T36" s="53">
        <v>1751.0</v>
      </c>
      <c r="U36" s="53">
        <v>1798.0</v>
      </c>
      <c r="V36" s="53">
        <v>1847.0</v>
      </c>
      <c r="W36" s="53">
        <v>1896.0</v>
      </c>
      <c r="X36" s="53">
        <v>1947.0</v>
      </c>
      <c r="Y36" s="53">
        <v>2000.0</v>
      </c>
      <c r="Z36" s="53">
        <v>2054.0</v>
      </c>
      <c r="AA36" s="53">
        <v>2109.0</v>
      </c>
      <c r="AB36" s="53"/>
      <c r="AC36" s="57">
        <f t="shared" si="19"/>
        <v>16206.09992</v>
      </c>
      <c r="AD36" s="22"/>
    </row>
    <row r="37">
      <c r="A37" s="57" t="s">
        <v>18</v>
      </c>
      <c r="B37" s="53">
        <v>0.0</v>
      </c>
      <c r="C37" s="53">
        <f t="shared" ref="C37:AA37" si="20">C35-C36</f>
        <v>631</v>
      </c>
      <c r="D37" s="50">
        <f t="shared" si="20"/>
        <v>645</v>
      </c>
      <c r="E37" s="50">
        <f t="shared" si="20"/>
        <v>659</v>
      </c>
      <c r="F37" s="50">
        <f t="shared" si="20"/>
        <v>673</v>
      </c>
      <c r="G37" s="50">
        <f t="shared" si="20"/>
        <v>687</v>
      </c>
      <c r="H37" s="50">
        <f t="shared" si="20"/>
        <v>702</v>
      </c>
      <c r="I37" s="50">
        <f t="shared" si="20"/>
        <v>717</v>
      </c>
      <c r="J37" s="50">
        <f t="shared" si="20"/>
        <v>732</v>
      </c>
      <c r="K37" s="50">
        <f t="shared" si="20"/>
        <v>747</v>
      </c>
      <c r="L37" s="50">
        <f t="shared" si="20"/>
        <v>764</v>
      </c>
      <c r="M37" s="50">
        <f t="shared" si="20"/>
        <v>779</v>
      </c>
      <c r="N37" s="50">
        <f t="shared" si="20"/>
        <v>796</v>
      </c>
      <c r="O37" s="50">
        <f t="shared" si="20"/>
        <v>813</v>
      </c>
      <c r="P37" s="50">
        <f t="shared" si="20"/>
        <v>831</v>
      </c>
      <c r="Q37" s="50">
        <f t="shared" si="20"/>
        <v>848</v>
      </c>
      <c r="R37" s="50">
        <f t="shared" si="20"/>
        <v>867</v>
      </c>
      <c r="S37" s="50">
        <f t="shared" si="20"/>
        <v>885</v>
      </c>
      <c r="T37" s="50">
        <f t="shared" si="20"/>
        <v>903</v>
      </c>
      <c r="U37" s="50">
        <f t="shared" si="20"/>
        <v>923</v>
      </c>
      <c r="V37" s="50">
        <f t="shared" si="20"/>
        <v>942</v>
      </c>
      <c r="W37" s="50">
        <f t="shared" si="20"/>
        <v>963</v>
      </c>
      <c r="X37" s="50">
        <f t="shared" si="20"/>
        <v>983</v>
      </c>
      <c r="Y37" s="50">
        <f t="shared" si="20"/>
        <v>1003</v>
      </c>
      <c r="Z37" s="50">
        <f t="shared" si="20"/>
        <v>1024</v>
      </c>
      <c r="AA37" s="50">
        <f t="shared" si="20"/>
        <v>1046</v>
      </c>
      <c r="AB37" s="53">
        <f t="shared" ref="AB37:AB39" si="22">SUM(B37:AA37)</f>
        <v>20563</v>
      </c>
      <c r="AC37" s="57">
        <f t="shared" ref="AC37:AC39" si="23">B37+NPV($AC$4, C37:AA37)</f>
        <v>9476.881408</v>
      </c>
      <c r="AD37" s="22"/>
    </row>
    <row r="38">
      <c r="A38" s="58" t="s">
        <v>19</v>
      </c>
      <c r="B38" s="53">
        <f>AC26+AC27</f>
        <v>15002.7</v>
      </c>
      <c r="C38" s="53">
        <f t="shared" ref="C38:AA38" si="21">$AC$7</f>
        <v>276.51</v>
      </c>
      <c r="D38" s="50">
        <f t="shared" si="21"/>
        <v>276.51</v>
      </c>
      <c r="E38" s="50">
        <f t="shared" si="21"/>
        <v>276.51</v>
      </c>
      <c r="F38" s="50">
        <f t="shared" si="21"/>
        <v>276.51</v>
      </c>
      <c r="G38" s="50">
        <f t="shared" si="21"/>
        <v>276.51</v>
      </c>
      <c r="H38" s="50">
        <f t="shared" si="21"/>
        <v>276.51</v>
      </c>
      <c r="I38" s="50">
        <f t="shared" si="21"/>
        <v>276.51</v>
      </c>
      <c r="J38" s="50">
        <f t="shared" si="21"/>
        <v>276.51</v>
      </c>
      <c r="K38" s="50">
        <f t="shared" si="21"/>
        <v>276.51</v>
      </c>
      <c r="L38" s="50">
        <f t="shared" si="21"/>
        <v>276.51</v>
      </c>
      <c r="M38" s="50">
        <f t="shared" si="21"/>
        <v>276.51</v>
      </c>
      <c r="N38" s="50">
        <f t="shared" si="21"/>
        <v>276.51</v>
      </c>
      <c r="O38" s="50">
        <f t="shared" si="21"/>
        <v>276.51</v>
      </c>
      <c r="P38" s="50">
        <f t="shared" si="21"/>
        <v>276.51</v>
      </c>
      <c r="Q38" s="50">
        <f t="shared" si="21"/>
        <v>276.51</v>
      </c>
      <c r="R38" s="50">
        <f t="shared" si="21"/>
        <v>276.51</v>
      </c>
      <c r="S38" s="50">
        <f t="shared" si="21"/>
        <v>276.51</v>
      </c>
      <c r="T38" s="50">
        <f t="shared" si="21"/>
        <v>276.51</v>
      </c>
      <c r="U38" s="50">
        <f t="shared" si="21"/>
        <v>276.51</v>
      </c>
      <c r="V38" s="50">
        <f t="shared" si="21"/>
        <v>276.51</v>
      </c>
      <c r="W38" s="50">
        <f t="shared" si="21"/>
        <v>276.51</v>
      </c>
      <c r="X38" s="50">
        <f t="shared" si="21"/>
        <v>276.51</v>
      </c>
      <c r="Y38" s="50">
        <f t="shared" si="21"/>
        <v>276.51</v>
      </c>
      <c r="Z38" s="50">
        <f t="shared" si="21"/>
        <v>276.51</v>
      </c>
      <c r="AA38" s="50">
        <f t="shared" si="21"/>
        <v>276.51</v>
      </c>
      <c r="AB38" s="53">
        <f t="shared" si="22"/>
        <v>21915.45</v>
      </c>
      <c r="AC38" s="57">
        <f t="shared" si="23"/>
        <v>18406.969</v>
      </c>
      <c r="AD38" s="16"/>
    </row>
    <row r="39">
      <c r="A39" s="59" t="s">
        <v>23</v>
      </c>
      <c r="B39" s="57">
        <f t="shared" ref="B39:AA39" si="24">B37+B38</f>
        <v>15002.7</v>
      </c>
      <c r="C39" s="57">
        <f t="shared" si="24"/>
        <v>907.51</v>
      </c>
      <c r="D39" s="60">
        <f t="shared" si="24"/>
        <v>921.51</v>
      </c>
      <c r="E39" s="60">
        <f t="shared" si="24"/>
        <v>935.51</v>
      </c>
      <c r="F39" s="60">
        <f t="shared" si="24"/>
        <v>949.51</v>
      </c>
      <c r="G39" s="60">
        <f t="shared" si="24"/>
        <v>963.51</v>
      </c>
      <c r="H39" s="60">
        <f t="shared" si="24"/>
        <v>978.51</v>
      </c>
      <c r="I39" s="60">
        <f t="shared" si="24"/>
        <v>993.51</v>
      </c>
      <c r="J39" s="60">
        <f t="shared" si="24"/>
        <v>1008.51</v>
      </c>
      <c r="K39" s="60">
        <f t="shared" si="24"/>
        <v>1023.51</v>
      </c>
      <c r="L39" s="60">
        <f t="shared" si="24"/>
        <v>1040.51</v>
      </c>
      <c r="M39" s="60">
        <f t="shared" si="24"/>
        <v>1055.51</v>
      </c>
      <c r="N39" s="60">
        <f t="shared" si="24"/>
        <v>1072.51</v>
      </c>
      <c r="O39" s="60">
        <f t="shared" si="24"/>
        <v>1089.51</v>
      </c>
      <c r="P39" s="60">
        <f t="shared" si="24"/>
        <v>1107.51</v>
      </c>
      <c r="Q39" s="60">
        <f t="shared" si="24"/>
        <v>1124.51</v>
      </c>
      <c r="R39" s="60">
        <f t="shared" si="24"/>
        <v>1143.51</v>
      </c>
      <c r="S39" s="60">
        <f t="shared" si="24"/>
        <v>1161.51</v>
      </c>
      <c r="T39" s="60">
        <f t="shared" si="24"/>
        <v>1179.51</v>
      </c>
      <c r="U39" s="60">
        <f t="shared" si="24"/>
        <v>1199.51</v>
      </c>
      <c r="V39" s="60">
        <f t="shared" si="24"/>
        <v>1218.51</v>
      </c>
      <c r="W39" s="60">
        <f t="shared" si="24"/>
        <v>1239.51</v>
      </c>
      <c r="X39" s="60">
        <f t="shared" si="24"/>
        <v>1259.51</v>
      </c>
      <c r="Y39" s="60">
        <f t="shared" si="24"/>
        <v>1279.51</v>
      </c>
      <c r="Z39" s="60">
        <f t="shared" si="24"/>
        <v>1300.51</v>
      </c>
      <c r="AA39" s="60">
        <f t="shared" si="24"/>
        <v>1322.51</v>
      </c>
      <c r="AB39" s="53">
        <f t="shared" si="22"/>
        <v>42478.45</v>
      </c>
      <c r="AC39" s="57">
        <f t="shared" si="23"/>
        <v>27883.85041</v>
      </c>
      <c r="AD39" s="32"/>
    </row>
    <row r="40">
      <c r="A40" s="48" t="s">
        <v>21</v>
      </c>
      <c r="B40" s="61"/>
      <c r="C40" s="62">
        <f t="shared" ref="C40:AB40" si="25">C39-C34</f>
        <v>23.55533066</v>
      </c>
      <c r="D40" s="63">
        <f t="shared" si="25"/>
        <v>37.55533066</v>
      </c>
      <c r="E40" s="63">
        <f t="shared" si="25"/>
        <v>51.55533066</v>
      </c>
      <c r="F40" s="64">
        <f t="shared" si="25"/>
        <v>65.55533066</v>
      </c>
      <c r="G40" s="63">
        <f t="shared" si="25"/>
        <v>79.55533066</v>
      </c>
      <c r="H40" s="63">
        <f t="shared" si="25"/>
        <v>94.55533066</v>
      </c>
      <c r="I40" s="63">
        <f t="shared" si="25"/>
        <v>109.5553307</v>
      </c>
      <c r="J40" s="63">
        <f t="shared" si="25"/>
        <v>124.5553307</v>
      </c>
      <c r="K40" s="63">
        <f t="shared" si="25"/>
        <v>139.5553307</v>
      </c>
      <c r="L40" s="63">
        <f t="shared" si="25"/>
        <v>156.5553307</v>
      </c>
      <c r="M40" s="63">
        <f t="shared" si="25"/>
        <v>171.5553307</v>
      </c>
      <c r="N40" s="63">
        <f t="shared" si="25"/>
        <v>188.5553307</v>
      </c>
      <c r="O40" s="63">
        <f t="shared" si="25"/>
        <v>205.5553307</v>
      </c>
      <c r="P40" s="63">
        <f t="shared" si="25"/>
        <v>223.5553307</v>
      </c>
      <c r="Q40" s="63">
        <f t="shared" si="25"/>
        <v>240.5553307</v>
      </c>
      <c r="R40" s="63">
        <f t="shared" si="25"/>
        <v>259.5553307</v>
      </c>
      <c r="S40" s="63">
        <f t="shared" si="25"/>
        <v>277.5553307</v>
      </c>
      <c r="T40" s="63">
        <f t="shared" si="25"/>
        <v>295.5553307</v>
      </c>
      <c r="U40" s="63">
        <f t="shared" si="25"/>
        <v>315.5553307</v>
      </c>
      <c r="V40" s="63">
        <f t="shared" si="25"/>
        <v>334.5553307</v>
      </c>
      <c r="W40" s="63">
        <f t="shared" si="25"/>
        <v>355.5553307</v>
      </c>
      <c r="X40" s="63">
        <f t="shared" si="25"/>
        <v>375.5553307</v>
      </c>
      <c r="Y40" s="63">
        <f t="shared" si="25"/>
        <v>395.5553307</v>
      </c>
      <c r="Z40" s="63">
        <f t="shared" si="25"/>
        <v>416.5553307</v>
      </c>
      <c r="AA40" s="63">
        <f t="shared" si="25"/>
        <v>438.5553307</v>
      </c>
      <c r="AB40" s="56">
        <f t="shared" si="25"/>
        <v>64577.31673</v>
      </c>
      <c r="AC40" s="56">
        <f>AC39+AC34</f>
        <v>17000.99092</v>
      </c>
      <c r="AD40" s="20"/>
    </row>
    <row r="41">
      <c r="A41" s="65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7"/>
      <c r="AC41" s="67"/>
      <c r="AD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68">
        <f>SUM(C40:AA40)</f>
        <v>5376.883267</v>
      </c>
      <c r="AB42" s="20"/>
      <c r="AC42" s="20"/>
      <c r="AD42" s="20"/>
    </row>
    <row r="43">
      <c r="A43" s="69" t="s">
        <v>24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1"/>
      <c r="AC43" s="71"/>
      <c r="AD43" s="20"/>
    </row>
    <row r="44">
      <c r="A44" s="71" t="s">
        <v>1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3"/>
      <c r="AC44" s="74">
        <v>25085.0</v>
      </c>
      <c r="AD44" s="20"/>
    </row>
    <row r="45">
      <c r="A45" s="71" t="s">
        <v>2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3"/>
      <c r="AC45" s="75">
        <v>0.0724</v>
      </c>
      <c r="AD45" s="20"/>
    </row>
    <row r="46">
      <c r="A46" s="71" t="s">
        <v>3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3"/>
      <c r="AC46" s="75">
        <v>0.064</v>
      </c>
      <c r="AD46" s="20"/>
    </row>
    <row r="47">
      <c r="A47" s="76" t="s">
        <v>4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3"/>
      <c r="AC47" s="77">
        <f>AC44*0.3</f>
        <v>7525.5</v>
      </c>
      <c r="AD47" s="20"/>
    </row>
    <row r="48">
      <c r="A48" s="76" t="s">
        <v>5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3"/>
      <c r="AC48" s="78">
        <v>7477.2</v>
      </c>
      <c r="AD48" s="20"/>
    </row>
    <row r="49">
      <c r="A49" s="76" t="s">
        <v>6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3"/>
      <c r="AC49" s="78">
        <v>276.51</v>
      </c>
      <c r="AD49" s="20"/>
    </row>
    <row r="50">
      <c r="A50" s="79"/>
      <c r="B50" s="80" t="s">
        <v>7</v>
      </c>
      <c r="C50" s="80" t="s">
        <v>8</v>
      </c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80" t="s">
        <v>9</v>
      </c>
      <c r="AC50" s="81" t="s">
        <v>10</v>
      </c>
      <c r="AD50" s="20"/>
    </row>
    <row r="51" hidden="1">
      <c r="A51" s="81" t="s">
        <v>11</v>
      </c>
      <c r="B51" s="82">
        <v>0.0</v>
      </c>
      <c r="C51" s="82">
        <v>1.0</v>
      </c>
      <c r="D51" s="82">
        <v>2.0</v>
      </c>
      <c r="E51" s="82">
        <v>3.0</v>
      </c>
      <c r="F51" s="82">
        <v>4.0</v>
      </c>
      <c r="G51" s="82">
        <v>5.0</v>
      </c>
      <c r="H51" s="82">
        <v>6.0</v>
      </c>
      <c r="I51" s="82">
        <v>7.0</v>
      </c>
      <c r="J51" s="82">
        <v>8.0</v>
      </c>
      <c r="K51" s="82">
        <v>9.0</v>
      </c>
      <c r="L51" s="82">
        <v>10.0</v>
      </c>
      <c r="M51" s="82">
        <v>11.0</v>
      </c>
      <c r="N51" s="82">
        <v>12.0</v>
      </c>
      <c r="O51" s="82">
        <v>13.0</v>
      </c>
      <c r="P51" s="82">
        <v>14.0</v>
      </c>
      <c r="Q51" s="82">
        <v>15.0</v>
      </c>
      <c r="R51" s="82">
        <v>16.0</v>
      </c>
      <c r="S51" s="82">
        <v>17.0</v>
      </c>
      <c r="T51" s="82">
        <v>18.0</v>
      </c>
      <c r="U51" s="82">
        <v>19.0</v>
      </c>
      <c r="V51" s="82">
        <v>20.0</v>
      </c>
      <c r="W51" s="82">
        <v>21.0</v>
      </c>
      <c r="X51" s="82">
        <v>22.0</v>
      </c>
      <c r="Y51" s="82">
        <v>23.0</v>
      </c>
      <c r="Z51" s="82">
        <v>24.0</v>
      </c>
      <c r="AA51" s="82">
        <v>25.0</v>
      </c>
      <c r="AB51" s="82"/>
      <c r="AC51" s="79"/>
      <c r="AD51" s="20"/>
    </row>
    <row r="52">
      <c r="A52" s="83" t="s">
        <v>12</v>
      </c>
      <c r="B52" s="84">
        <f>AC44-B54-B59</f>
        <v>0</v>
      </c>
      <c r="C52" s="85">
        <f t="shared" ref="C52:AA52" si="26">B52-C54</f>
        <v>0</v>
      </c>
      <c r="D52" s="82">
        <f t="shared" si="26"/>
        <v>0</v>
      </c>
      <c r="E52" s="82">
        <f t="shared" si="26"/>
        <v>0</v>
      </c>
      <c r="F52" s="82">
        <f t="shared" si="26"/>
        <v>0</v>
      </c>
      <c r="G52" s="82">
        <f t="shared" si="26"/>
        <v>0</v>
      </c>
      <c r="H52" s="82">
        <f t="shared" si="26"/>
        <v>0</v>
      </c>
      <c r="I52" s="82">
        <f t="shared" si="26"/>
        <v>0</v>
      </c>
      <c r="J52" s="82">
        <f t="shared" si="26"/>
        <v>0</v>
      </c>
      <c r="K52" s="82">
        <f t="shared" si="26"/>
        <v>0</v>
      </c>
      <c r="L52" s="82">
        <f t="shared" si="26"/>
        <v>0</v>
      </c>
      <c r="M52" s="82">
        <f t="shared" si="26"/>
        <v>0</v>
      </c>
      <c r="N52" s="82">
        <f t="shared" si="26"/>
        <v>0</v>
      </c>
      <c r="O52" s="82">
        <f t="shared" si="26"/>
        <v>0</v>
      </c>
      <c r="P52" s="82">
        <f t="shared" si="26"/>
        <v>0</v>
      </c>
      <c r="Q52" s="82">
        <f t="shared" si="26"/>
        <v>0</v>
      </c>
      <c r="R52" s="82">
        <f t="shared" si="26"/>
        <v>0</v>
      </c>
      <c r="S52" s="82">
        <f t="shared" si="26"/>
        <v>0</v>
      </c>
      <c r="T52" s="82">
        <f t="shared" si="26"/>
        <v>0</v>
      </c>
      <c r="U52" s="82">
        <f t="shared" si="26"/>
        <v>0</v>
      </c>
      <c r="V52" s="82">
        <f t="shared" si="26"/>
        <v>0</v>
      </c>
      <c r="W52" s="82">
        <f t="shared" si="26"/>
        <v>0</v>
      </c>
      <c r="X52" s="82">
        <f t="shared" si="26"/>
        <v>0</v>
      </c>
      <c r="Y52" s="82">
        <f t="shared" si="26"/>
        <v>0</v>
      </c>
      <c r="Z52" s="82">
        <f t="shared" si="26"/>
        <v>0</v>
      </c>
      <c r="AA52" s="82">
        <f t="shared" si="26"/>
        <v>0</v>
      </c>
      <c r="AB52" s="82"/>
      <c r="AC52" s="79"/>
      <c r="AD52" s="20"/>
    </row>
    <row r="53">
      <c r="A53" s="86" t="s">
        <v>13</v>
      </c>
      <c r="B53" s="87">
        <v>0.0</v>
      </c>
      <c r="C53" s="87">
        <f t="shared" ref="C53:AA53" si="27">B52*$AC$3</f>
        <v>0</v>
      </c>
      <c r="D53" s="87">
        <f t="shared" si="27"/>
        <v>0</v>
      </c>
      <c r="E53" s="87">
        <f t="shared" si="27"/>
        <v>0</v>
      </c>
      <c r="F53" s="87">
        <f t="shared" si="27"/>
        <v>0</v>
      </c>
      <c r="G53" s="87">
        <f t="shared" si="27"/>
        <v>0</v>
      </c>
      <c r="H53" s="87">
        <f t="shared" si="27"/>
        <v>0</v>
      </c>
      <c r="I53" s="87">
        <f t="shared" si="27"/>
        <v>0</v>
      </c>
      <c r="J53" s="87">
        <f t="shared" si="27"/>
        <v>0</v>
      </c>
      <c r="K53" s="87">
        <f t="shared" si="27"/>
        <v>0</v>
      </c>
      <c r="L53" s="87">
        <f t="shared" si="27"/>
        <v>0</v>
      </c>
      <c r="M53" s="87">
        <f t="shared" si="27"/>
        <v>0</v>
      </c>
      <c r="N53" s="87">
        <f t="shared" si="27"/>
        <v>0</v>
      </c>
      <c r="O53" s="87">
        <f t="shared" si="27"/>
        <v>0</v>
      </c>
      <c r="P53" s="87">
        <f t="shared" si="27"/>
        <v>0</v>
      </c>
      <c r="Q53" s="87">
        <f t="shared" si="27"/>
        <v>0</v>
      </c>
      <c r="R53" s="87">
        <f t="shared" si="27"/>
        <v>0</v>
      </c>
      <c r="S53" s="87">
        <f t="shared" si="27"/>
        <v>0</v>
      </c>
      <c r="T53" s="87">
        <f t="shared" si="27"/>
        <v>0</v>
      </c>
      <c r="U53" s="87">
        <f t="shared" si="27"/>
        <v>0</v>
      </c>
      <c r="V53" s="87">
        <f t="shared" si="27"/>
        <v>0</v>
      </c>
      <c r="W53" s="87">
        <f t="shared" si="27"/>
        <v>0</v>
      </c>
      <c r="X53" s="87">
        <f t="shared" si="27"/>
        <v>0</v>
      </c>
      <c r="Y53" s="87">
        <f t="shared" si="27"/>
        <v>0</v>
      </c>
      <c r="Z53" s="87">
        <f t="shared" si="27"/>
        <v>0</v>
      </c>
      <c r="AA53" s="87">
        <f t="shared" si="27"/>
        <v>0</v>
      </c>
      <c r="AB53" s="87">
        <f t="shared" ref="AB53:AB55" si="29">-SUM(B53:AA53)</f>
        <v>0</v>
      </c>
      <c r="AC53" s="88">
        <f t="shared" ref="AC53:AC55" si="30">-(B53+NPV($AC$4, C53:AA53))</f>
        <v>0</v>
      </c>
      <c r="AD53" s="20"/>
    </row>
    <row r="54">
      <c r="A54" s="86" t="s">
        <v>14</v>
      </c>
      <c r="B54" s="87">
        <f>AC44-B59</f>
        <v>10082.3</v>
      </c>
      <c r="C54" s="87">
        <f t="shared" ref="C54:AA54" si="28">IF(B52=0, 0, C55-C53)</f>
        <v>0</v>
      </c>
      <c r="D54" s="87">
        <f t="shared" si="28"/>
        <v>0</v>
      </c>
      <c r="E54" s="87">
        <f t="shared" si="28"/>
        <v>0</v>
      </c>
      <c r="F54" s="87">
        <f t="shared" si="28"/>
        <v>0</v>
      </c>
      <c r="G54" s="87">
        <f t="shared" si="28"/>
        <v>0</v>
      </c>
      <c r="H54" s="87">
        <f t="shared" si="28"/>
        <v>0</v>
      </c>
      <c r="I54" s="87">
        <f t="shared" si="28"/>
        <v>0</v>
      </c>
      <c r="J54" s="87">
        <f t="shared" si="28"/>
        <v>0</v>
      </c>
      <c r="K54" s="87">
        <f t="shared" si="28"/>
        <v>0</v>
      </c>
      <c r="L54" s="87">
        <f t="shared" si="28"/>
        <v>0</v>
      </c>
      <c r="M54" s="87">
        <f t="shared" si="28"/>
        <v>0</v>
      </c>
      <c r="N54" s="87">
        <f t="shared" si="28"/>
        <v>0</v>
      </c>
      <c r="O54" s="87">
        <f t="shared" si="28"/>
        <v>0</v>
      </c>
      <c r="P54" s="87">
        <f t="shared" si="28"/>
        <v>0</v>
      </c>
      <c r="Q54" s="87">
        <f t="shared" si="28"/>
        <v>0</v>
      </c>
      <c r="R54" s="87">
        <f t="shared" si="28"/>
        <v>0</v>
      </c>
      <c r="S54" s="87">
        <f t="shared" si="28"/>
        <v>0</v>
      </c>
      <c r="T54" s="87">
        <f t="shared" si="28"/>
        <v>0</v>
      </c>
      <c r="U54" s="87">
        <f t="shared" si="28"/>
        <v>0</v>
      </c>
      <c r="V54" s="87">
        <f t="shared" si="28"/>
        <v>0</v>
      </c>
      <c r="W54" s="87">
        <f t="shared" si="28"/>
        <v>0</v>
      </c>
      <c r="X54" s="87">
        <f t="shared" si="28"/>
        <v>0</v>
      </c>
      <c r="Y54" s="87">
        <f t="shared" si="28"/>
        <v>0</v>
      </c>
      <c r="Z54" s="87">
        <f t="shared" si="28"/>
        <v>0</v>
      </c>
      <c r="AA54" s="87">
        <f t="shared" si="28"/>
        <v>0</v>
      </c>
      <c r="AB54" s="89">
        <f t="shared" si="29"/>
        <v>-10082.3</v>
      </c>
      <c r="AC54" s="90">
        <f t="shared" si="30"/>
        <v>-10082.3</v>
      </c>
      <c r="AD54" s="20"/>
    </row>
    <row r="55">
      <c r="A55" s="83" t="s">
        <v>15</v>
      </c>
      <c r="B55" s="87">
        <f>B53+B54</f>
        <v>10082.3</v>
      </c>
      <c r="C55" s="87">
        <f t="shared" ref="C55:AA55" si="31">ABS(PMT($AC$3,25,$B$52,0))</f>
        <v>0</v>
      </c>
      <c r="D55" s="87">
        <f t="shared" si="31"/>
        <v>0</v>
      </c>
      <c r="E55" s="87">
        <f t="shared" si="31"/>
        <v>0</v>
      </c>
      <c r="F55" s="87">
        <f t="shared" si="31"/>
        <v>0</v>
      </c>
      <c r="G55" s="87">
        <f t="shared" si="31"/>
        <v>0</v>
      </c>
      <c r="H55" s="87">
        <f t="shared" si="31"/>
        <v>0</v>
      </c>
      <c r="I55" s="87">
        <f t="shared" si="31"/>
        <v>0</v>
      </c>
      <c r="J55" s="87">
        <f t="shared" si="31"/>
        <v>0</v>
      </c>
      <c r="K55" s="87">
        <f t="shared" si="31"/>
        <v>0</v>
      </c>
      <c r="L55" s="87">
        <f t="shared" si="31"/>
        <v>0</v>
      </c>
      <c r="M55" s="87">
        <f t="shared" si="31"/>
        <v>0</v>
      </c>
      <c r="N55" s="87">
        <f t="shared" si="31"/>
        <v>0</v>
      </c>
      <c r="O55" s="87">
        <f t="shared" si="31"/>
        <v>0</v>
      </c>
      <c r="P55" s="87">
        <f t="shared" si="31"/>
        <v>0</v>
      </c>
      <c r="Q55" s="87">
        <f t="shared" si="31"/>
        <v>0</v>
      </c>
      <c r="R55" s="87">
        <f t="shared" si="31"/>
        <v>0</v>
      </c>
      <c r="S55" s="87">
        <f t="shared" si="31"/>
        <v>0</v>
      </c>
      <c r="T55" s="87">
        <f t="shared" si="31"/>
        <v>0</v>
      </c>
      <c r="U55" s="87">
        <f t="shared" si="31"/>
        <v>0</v>
      </c>
      <c r="V55" s="87">
        <f t="shared" si="31"/>
        <v>0</v>
      </c>
      <c r="W55" s="87">
        <f t="shared" si="31"/>
        <v>0</v>
      </c>
      <c r="X55" s="87">
        <f t="shared" si="31"/>
        <v>0</v>
      </c>
      <c r="Y55" s="87">
        <f t="shared" si="31"/>
        <v>0</v>
      </c>
      <c r="Z55" s="87">
        <f t="shared" si="31"/>
        <v>0</v>
      </c>
      <c r="AA55" s="87">
        <f t="shared" si="31"/>
        <v>0</v>
      </c>
      <c r="AB55" s="89">
        <f t="shared" si="29"/>
        <v>-10082.3</v>
      </c>
      <c r="AC55" s="90">
        <f t="shared" si="30"/>
        <v>-10082.3</v>
      </c>
      <c r="AD55" s="20"/>
    </row>
    <row r="56">
      <c r="A56" s="91" t="s">
        <v>16</v>
      </c>
      <c r="B56" s="82">
        <v>0.0</v>
      </c>
      <c r="C56" s="87">
        <v>1744.0</v>
      </c>
      <c r="D56" s="87">
        <v>1788.0</v>
      </c>
      <c r="E56" s="87">
        <v>1833.0</v>
      </c>
      <c r="F56" s="87">
        <v>1879.0</v>
      </c>
      <c r="G56" s="87">
        <v>1926.0</v>
      </c>
      <c r="H56" s="87">
        <v>1974.0</v>
      </c>
      <c r="I56" s="87">
        <v>2023.0</v>
      </c>
      <c r="J56" s="87">
        <v>2074.0</v>
      </c>
      <c r="K56" s="87">
        <v>2125.0</v>
      </c>
      <c r="L56" s="87">
        <v>2179.0</v>
      </c>
      <c r="M56" s="87">
        <v>2233.0</v>
      </c>
      <c r="N56" s="87">
        <v>2289.0</v>
      </c>
      <c r="O56" s="87">
        <v>2346.0</v>
      </c>
      <c r="P56" s="87">
        <v>2405.0</v>
      </c>
      <c r="Q56" s="87">
        <v>2465.0</v>
      </c>
      <c r="R56" s="87">
        <v>2527.0</v>
      </c>
      <c r="S56" s="87">
        <v>2590.0</v>
      </c>
      <c r="T56" s="87">
        <v>2654.0</v>
      </c>
      <c r="U56" s="87">
        <v>2721.0</v>
      </c>
      <c r="V56" s="87">
        <v>2789.0</v>
      </c>
      <c r="W56" s="87">
        <v>2859.0</v>
      </c>
      <c r="X56" s="87">
        <v>2930.0</v>
      </c>
      <c r="Y56" s="87">
        <v>3003.0</v>
      </c>
      <c r="Z56" s="87">
        <v>3078.0</v>
      </c>
      <c r="AA56" s="87">
        <v>3155.0</v>
      </c>
      <c r="AB56" s="87"/>
      <c r="AC56" s="88">
        <f t="shared" ref="AC56:AC57" si="32">NPV($AC$3, C56:AA56)</f>
        <v>24917.35019</v>
      </c>
      <c r="AD56" s="20"/>
    </row>
    <row r="57">
      <c r="A57" s="91" t="s">
        <v>17</v>
      </c>
      <c r="B57" s="82">
        <v>0.0</v>
      </c>
      <c r="C57" s="87">
        <v>1113.0</v>
      </c>
      <c r="D57" s="87">
        <v>1143.0</v>
      </c>
      <c r="E57" s="87">
        <v>1174.0</v>
      </c>
      <c r="F57" s="87">
        <v>1206.0</v>
      </c>
      <c r="G57" s="87">
        <v>1239.0</v>
      </c>
      <c r="H57" s="87">
        <v>1272.0</v>
      </c>
      <c r="I57" s="87">
        <v>1306.0</v>
      </c>
      <c r="J57" s="87">
        <v>1342.0</v>
      </c>
      <c r="K57" s="87">
        <v>1378.0</v>
      </c>
      <c r="L57" s="87">
        <v>1415.0</v>
      </c>
      <c r="M57" s="87">
        <v>1454.0</v>
      </c>
      <c r="N57" s="87">
        <v>1493.0</v>
      </c>
      <c r="O57" s="87">
        <v>1533.0</v>
      </c>
      <c r="P57" s="87">
        <v>1574.0</v>
      </c>
      <c r="Q57" s="87">
        <v>1617.0</v>
      </c>
      <c r="R57" s="87">
        <v>1660.0</v>
      </c>
      <c r="S57" s="87">
        <v>1705.0</v>
      </c>
      <c r="T57" s="87">
        <v>1751.0</v>
      </c>
      <c r="U57" s="87">
        <v>1798.0</v>
      </c>
      <c r="V57" s="87">
        <v>1847.0</v>
      </c>
      <c r="W57" s="87">
        <v>1896.0</v>
      </c>
      <c r="X57" s="87">
        <v>1947.0</v>
      </c>
      <c r="Y57" s="87">
        <v>2000.0</v>
      </c>
      <c r="Z57" s="87">
        <v>2054.0</v>
      </c>
      <c r="AA57" s="87">
        <v>2109.0</v>
      </c>
      <c r="AB57" s="87"/>
      <c r="AC57" s="88">
        <f t="shared" si="32"/>
        <v>16206.09992</v>
      </c>
      <c r="AD57" s="20"/>
    </row>
    <row r="58">
      <c r="A58" s="88" t="s">
        <v>25</v>
      </c>
      <c r="B58" s="87">
        <v>0.0</v>
      </c>
      <c r="C58" s="87">
        <f t="shared" ref="C58:AA58" si="33">C56-C57</f>
        <v>631</v>
      </c>
      <c r="D58" s="87">
        <f t="shared" si="33"/>
        <v>645</v>
      </c>
      <c r="E58" s="87">
        <f t="shared" si="33"/>
        <v>659</v>
      </c>
      <c r="F58" s="87">
        <f t="shared" si="33"/>
        <v>673</v>
      </c>
      <c r="G58" s="87">
        <f t="shared" si="33"/>
        <v>687</v>
      </c>
      <c r="H58" s="87">
        <f t="shared" si="33"/>
        <v>702</v>
      </c>
      <c r="I58" s="87">
        <f t="shared" si="33"/>
        <v>717</v>
      </c>
      <c r="J58" s="87">
        <f t="shared" si="33"/>
        <v>732</v>
      </c>
      <c r="K58" s="87">
        <f t="shared" si="33"/>
        <v>747</v>
      </c>
      <c r="L58" s="87">
        <f t="shared" si="33"/>
        <v>764</v>
      </c>
      <c r="M58" s="87">
        <f t="shared" si="33"/>
        <v>779</v>
      </c>
      <c r="N58" s="87">
        <f t="shared" si="33"/>
        <v>796</v>
      </c>
      <c r="O58" s="87">
        <f t="shared" si="33"/>
        <v>813</v>
      </c>
      <c r="P58" s="87">
        <f t="shared" si="33"/>
        <v>831</v>
      </c>
      <c r="Q58" s="87">
        <f t="shared" si="33"/>
        <v>848</v>
      </c>
      <c r="R58" s="87">
        <f t="shared" si="33"/>
        <v>867</v>
      </c>
      <c r="S58" s="87">
        <f t="shared" si="33"/>
        <v>885</v>
      </c>
      <c r="T58" s="87">
        <f t="shared" si="33"/>
        <v>903</v>
      </c>
      <c r="U58" s="87">
        <f t="shared" si="33"/>
        <v>923</v>
      </c>
      <c r="V58" s="87">
        <f t="shared" si="33"/>
        <v>942</v>
      </c>
      <c r="W58" s="87">
        <f t="shared" si="33"/>
        <v>963</v>
      </c>
      <c r="X58" s="87">
        <f t="shared" si="33"/>
        <v>983</v>
      </c>
      <c r="Y58" s="87">
        <f t="shared" si="33"/>
        <v>1003</v>
      </c>
      <c r="Z58" s="87">
        <f t="shared" si="33"/>
        <v>1024</v>
      </c>
      <c r="AA58" s="87">
        <f t="shared" si="33"/>
        <v>1046</v>
      </c>
      <c r="AB58" s="87">
        <f t="shared" ref="AB58:AB60" si="35">SUM(B58:AA58)</f>
        <v>20563</v>
      </c>
      <c r="AC58" s="88">
        <f t="shared" ref="AC58:AC60" si="36">B58+NPV($AC$3, C58:AA58)</f>
        <v>8711.250268</v>
      </c>
      <c r="AD58" s="20"/>
    </row>
    <row r="59">
      <c r="A59" s="92" t="s">
        <v>19</v>
      </c>
      <c r="B59" s="87">
        <f>AC47+AC48</f>
        <v>15002.7</v>
      </c>
      <c r="C59" s="87">
        <f t="shared" ref="C59:AA59" si="34">$AC$7</f>
        <v>276.51</v>
      </c>
      <c r="D59" s="87">
        <f t="shared" si="34"/>
        <v>276.51</v>
      </c>
      <c r="E59" s="87">
        <f t="shared" si="34"/>
        <v>276.51</v>
      </c>
      <c r="F59" s="87">
        <f t="shared" si="34"/>
        <v>276.51</v>
      </c>
      <c r="G59" s="87">
        <f t="shared" si="34"/>
        <v>276.51</v>
      </c>
      <c r="H59" s="87">
        <f t="shared" si="34"/>
        <v>276.51</v>
      </c>
      <c r="I59" s="87">
        <f t="shared" si="34"/>
        <v>276.51</v>
      </c>
      <c r="J59" s="87">
        <f t="shared" si="34"/>
        <v>276.51</v>
      </c>
      <c r="K59" s="87">
        <f t="shared" si="34"/>
        <v>276.51</v>
      </c>
      <c r="L59" s="87">
        <f t="shared" si="34"/>
        <v>276.51</v>
      </c>
      <c r="M59" s="87">
        <f t="shared" si="34"/>
        <v>276.51</v>
      </c>
      <c r="N59" s="87">
        <f t="shared" si="34"/>
        <v>276.51</v>
      </c>
      <c r="O59" s="87">
        <f t="shared" si="34"/>
        <v>276.51</v>
      </c>
      <c r="P59" s="87">
        <f t="shared" si="34"/>
        <v>276.51</v>
      </c>
      <c r="Q59" s="87">
        <f t="shared" si="34"/>
        <v>276.51</v>
      </c>
      <c r="R59" s="87">
        <f t="shared" si="34"/>
        <v>276.51</v>
      </c>
      <c r="S59" s="87">
        <f t="shared" si="34"/>
        <v>276.51</v>
      </c>
      <c r="T59" s="87">
        <f t="shared" si="34"/>
        <v>276.51</v>
      </c>
      <c r="U59" s="87">
        <f t="shared" si="34"/>
        <v>276.51</v>
      </c>
      <c r="V59" s="87">
        <f t="shared" si="34"/>
        <v>276.51</v>
      </c>
      <c r="W59" s="87">
        <f t="shared" si="34"/>
        <v>276.51</v>
      </c>
      <c r="X59" s="87">
        <f t="shared" si="34"/>
        <v>276.51</v>
      </c>
      <c r="Y59" s="87">
        <f t="shared" si="34"/>
        <v>276.51</v>
      </c>
      <c r="Z59" s="87">
        <f t="shared" si="34"/>
        <v>276.51</v>
      </c>
      <c r="AA59" s="87">
        <f t="shared" si="34"/>
        <v>276.51</v>
      </c>
      <c r="AB59" s="87">
        <f t="shared" si="35"/>
        <v>21915.45</v>
      </c>
      <c r="AC59" s="88">
        <f t="shared" si="36"/>
        <v>18156.54586</v>
      </c>
      <c r="AD59" s="20"/>
    </row>
    <row r="60">
      <c r="A60" s="93" t="s">
        <v>23</v>
      </c>
      <c r="B60" s="88">
        <f t="shared" ref="B60:AA60" si="37">B58+B59</f>
        <v>15002.7</v>
      </c>
      <c r="C60" s="88">
        <f t="shared" si="37"/>
        <v>907.51</v>
      </c>
      <c r="D60" s="88">
        <f t="shared" si="37"/>
        <v>921.51</v>
      </c>
      <c r="E60" s="88">
        <f t="shared" si="37"/>
        <v>935.51</v>
      </c>
      <c r="F60" s="88">
        <f t="shared" si="37"/>
        <v>949.51</v>
      </c>
      <c r="G60" s="88">
        <f t="shared" si="37"/>
        <v>963.51</v>
      </c>
      <c r="H60" s="88">
        <f t="shared" si="37"/>
        <v>978.51</v>
      </c>
      <c r="I60" s="88">
        <f t="shared" si="37"/>
        <v>993.51</v>
      </c>
      <c r="J60" s="88">
        <f t="shared" si="37"/>
        <v>1008.51</v>
      </c>
      <c r="K60" s="88">
        <f t="shared" si="37"/>
        <v>1023.51</v>
      </c>
      <c r="L60" s="88">
        <f t="shared" si="37"/>
        <v>1040.51</v>
      </c>
      <c r="M60" s="88">
        <f t="shared" si="37"/>
        <v>1055.51</v>
      </c>
      <c r="N60" s="88">
        <f t="shared" si="37"/>
        <v>1072.51</v>
      </c>
      <c r="O60" s="88">
        <f t="shared" si="37"/>
        <v>1089.51</v>
      </c>
      <c r="P60" s="88">
        <f t="shared" si="37"/>
        <v>1107.51</v>
      </c>
      <c r="Q60" s="88">
        <f t="shared" si="37"/>
        <v>1124.51</v>
      </c>
      <c r="R60" s="88">
        <f t="shared" si="37"/>
        <v>1143.51</v>
      </c>
      <c r="S60" s="88">
        <f t="shared" si="37"/>
        <v>1161.51</v>
      </c>
      <c r="T60" s="88">
        <f t="shared" si="37"/>
        <v>1179.51</v>
      </c>
      <c r="U60" s="88">
        <f t="shared" si="37"/>
        <v>1199.51</v>
      </c>
      <c r="V60" s="88">
        <f t="shared" si="37"/>
        <v>1218.51</v>
      </c>
      <c r="W60" s="88">
        <f t="shared" si="37"/>
        <v>1239.51</v>
      </c>
      <c r="X60" s="88">
        <f t="shared" si="37"/>
        <v>1259.51</v>
      </c>
      <c r="Y60" s="88">
        <f t="shared" si="37"/>
        <v>1279.51</v>
      </c>
      <c r="Z60" s="88">
        <f t="shared" si="37"/>
        <v>1300.51</v>
      </c>
      <c r="AA60" s="88">
        <f t="shared" si="37"/>
        <v>1322.51</v>
      </c>
      <c r="AB60" s="87">
        <f t="shared" si="35"/>
        <v>42478.45</v>
      </c>
      <c r="AC60" s="88">
        <f t="shared" si="36"/>
        <v>26867.79613</v>
      </c>
      <c r="AD60" s="20"/>
    </row>
    <row r="61">
      <c r="A61" s="80" t="s">
        <v>21</v>
      </c>
      <c r="B61" s="94"/>
      <c r="C61" s="94">
        <f t="shared" ref="C61:AB61" si="38">C60-C55</f>
        <v>907.51</v>
      </c>
      <c r="D61" s="95">
        <f t="shared" si="38"/>
        <v>921.51</v>
      </c>
      <c r="E61" s="95">
        <f t="shared" si="38"/>
        <v>935.51</v>
      </c>
      <c r="F61" s="95">
        <f t="shared" si="38"/>
        <v>949.51</v>
      </c>
      <c r="G61" s="95">
        <f t="shared" si="38"/>
        <v>963.51</v>
      </c>
      <c r="H61" s="95">
        <f t="shared" si="38"/>
        <v>978.51</v>
      </c>
      <c r="I61" s="95">
        <f t="shared" si="38"/>
        <v>993.51</v>
      </c>
      <c r="J61" s="95">
        <f t="shared" si="38"/>
        <v>1008.51</v>
      </c>
      <c r="K61" s="95">
        <f t="shared" si="38"/>
        <v>1023.51</v>
      </c>
      <c r="L61" s="95">
        <f t="shared" si="38"/>
        <v>1040.51</v>
      </c>
      <c r="M61" s="95">
        <f t="shared" si="38"/>
        <v>1055.51</v>
      </c>
      <c r="N61" s="95">
        <f t="shared" si="38"/>
        <v>1072.51</v>
      </c>
      <c r="O61" s="95">
        <f t="shared" si="38"/>
        <v>1089.51</v>
      </c>
      <c r="P61" s="95">
        <f t="shared" si="38"/>
        <v>1107.51</v>
      </c>
      <c r="Q61" s="95">
        <f t="shared" si="38"/>
        <v>1124.51</v>
      </c>
      <c r="R61" s="95">
        <f t="shared" si="38"/>
        <v>1143.51</v>
      </c>
      <c r="S61" s="95">
        <f t="shared" si="38"/>
        <v>1161.51</v>
      </c>
      <c r="T61" s="95">
        <f t="shared" si="38"/>
        <v>1179.51</v>
      </c>
      <c r="U61" s="95">
        <f t="shared" si="38"/>
        <v>1199.51</v>
      </c>
      <c r="V61" s="95">
        <f t="shared" si="38"/>
        <v>1218.51</v>
      </c>
      <c r="W61" s="95">
        <f t="shared" si="38"/>
        <v>1239.51</v>
      </c>
      <c r="X61" s="95">
        <f t="shared" si="38"/>
        <v>1259.51</v>
      </c>
      <c r="Y61" s="95">
        <f t="shared" si="38"/>
        <v>1279.51</v>
      </c>
      <c r="Z61" s="95">
        <f t="shared" si="38"/>
        <v>1300.51</v>
      </c>
      <c r="AA61" s="95">
        <f t="shared" si="38"/>
        <v>1322.51</v>
      </c>
      <c r="AB61" s="91">
        <f t="shared" si="38"/>
        <v>52560.75</v>
      </c>
      <c r="AC61" s="91">
        <f>AC60+AC55</f>
        <v>16785.49613</v>
      </c>
      <c r="AD61" s="20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>
      <c r="A66" s="96" t="s">
        <v>26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8"/>
      <c r="AC66" s="98"/>
      <c r="AD66" s="20"/>
    </row>
    <row r="67">
      <c r="A67" s="99" t="s">
        <v>1</v>
      </c>
      <c r="B67" s="100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0"/>
      <c r="AC67" s="102">
        <v>25085.0</v>
      </c>
      <c r="AD67" s="20"/>
    </row>
    <row r="68">
      <c r="A68" s="99" t="s">
        <v>2</v>
      </c>
      <c r="B68" s="100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0"/>
      <c r="AC68" s="103">
        <v>0.0724</v>
      </c>
      <c r="AD68" s="20"/>
    </row>
    <row r="69">
      <c r="A69" s="99" t="s">
        <v>3</v>
      </c>
      <c r="B69" s="100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0"/>
      <c r="AC69" s="104">
        <v>0.064</v>
      </c>
      <c r="AD69" s="20"/>
    </row>
    <row r="70">
      <c r="A70" s="105" t="s">
        <v>4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6">
        <f>0</f>
        <v>0</v>
      </c>
      <c r="AD70" s="20"/>
    </row>
    <row r="71">
      <c r="A71" s="105" t="s">
        <v>5</v>
      </c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6">
        <v>7477.2</v>
      </c>
      <c r="AD71" s="20"/>
    </row>
    <row r="72">
      <c r="A72" s="105" t="s">
        <v>6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6">
        <v>276.51</v>
      </c>
      <c r="AD72" s="20"/>
    </row>
    <row r="73">
      <c r="A73" s="107"/>
      <c r="B73" s="107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8" t="s">
        <v>9</v>
      </c>
      <c r="AC73" s="109" t="s">
        <v>10</v>
      </c>
      <c r="AD73" s="20"/>
    </row>
    <row r="74">
      <c r="A74" s="109"/>
      <c r="B74" s="110" t="s">
        <v>7</v>
      </c>
      <c r="C74" s="110" t="s">
        <v>8</v>
      </c>
      <c r="D74" s="111">
        <v>2.0</v>
      </c>
      <c r="E74" s="111">
        <v>3.0</v>
      </c>
      <c r="F74" s="111">
        <v>4.0</v>
      </c>
      <c r="G74" s="111">
        <v>5.0</v>
      </c>
      <c r="H74" s="111">
        <v>6.0</v>
      </c>
      <c r="I74" s="111">
        <v>7.0</v>
      </c>
      <c r="J74" s="111">
        <v>8.0</v>
      </c>
      <c r="K74" s="111">
        <v>9.0</v>
      </c>
      <c r="L74" s="111">
        <v>10.0</v>
      </c>
      <c r="M74" s="111">
        <v>11.0</v>
      </c>
      <c r="N74" s="111">
        <v>12.0</v>
      </c>
      <c r="O74" s="111">
        <v>13.0</v>
      </c>
      <c r="P74" s="111">
        <v>14.0</v>
      </c>
      <c r="Q74" s="111">
        <v>15.0</v>
      </c>
      <c r="R74" s="111">
        <v>16.0</v>
      </c>
      <c r="S74" s="111">
        <v>17.0</v>
      </c>
      <c r="T74" s="111">
        <v>18.0</v>
      </c>
      <c r="U74" s="111">
        <v>19.0</v>
      </c>
      <c r="V74" s="111">
        <v>20.0</v>
      </c>
      <c r="W74" s="111">
        <v>21.0</v>
      </c>
      <c r="X74" s="111">
        <v>22.0</v>
      </c>
      <c r="Y74" s="111">
        <v>23.0</v>
      </c>
      <c r="Z74" s="111">
        <v>24.0</v>
      </c>
      <c r="AA74" s="111">
        <v>25.0</v>
      </c>
      <c r="AB74" s="111"/>
      <c r="AC74" s="112"/>
      <c r="AD74" s="20"/>
    </row>
    <row r="75">
      <c r="A75" s="113" t="s">
        <v>12</v>
      </c>
      <c r="B75" s="109">
        <f>AC67-B82</f>
        <v>17607.8</v>
      </c>
      <c r="C75" s="109">
        <f t="shared" ref="C75:AA75" si="39">B75-C77</f>
        <v>17338.86004</v>
      </c>
      <c r="D75" s="111">
        <f t="shared" si="39"/>
        <v>17050.44882</v>
      </c>
      <c r="E75" s="111">
        <f t="shared" si="39"/>
        <v>16741.15663</v>
      </c>
      <c r="F75" s="111">
        <f t="shared" si="39"/>
        <v>16409.47169</v>
      </c>
      <c r="G75" s="111">
        <f t="shared" si="39"/>
        <v>16053.77275</v>
      </c>
      <c r="H75" s="111">
        <f t="shared" si="39"/>
        <v>15672.32121</v>
      </c>
      <c r="I75" s="111">
        <f t="shared" si="39"/>
        <v>15263.25259</v>
      </c>
      <c r="J75" s="111">
        <f t="shared" si="39"/>
        <v>14824.56739</v>
      </c>
      <c r="K75" s="111">
        <f t="shared" si="39"/>
        <v>14354.12139</v>
      </c>
      <c r="L75" s="111">
        <f t="shared" si="39"/>
        <v>13849.61509</v>
      </c>
      <c r="M75" s="111">
        <f t="shared" si="39"/>
        <v>13308.58254</v>
      </c>
      <c r="N75" s="111">
        <f t="shared" si="39"/>
        <v>12728.37923</v>
      </c>
      <c r="O75" s="111">
        <f t="shared" si="39"/>
        <v>12106.1692</v>
      </c>
      <c r="P75" s="111">
        <f t="shared" si="39"/>
        <v>11438.91117</v>
      </c>
      <c r="Q75" s="111">
        <f t="shared" si="39"/>
        <v>10723.34365</v>
      </c>
      <c r="R75" s="111">
        <f t="shared" si="39"/>
        <v>9955.96905</v>
      </c>
      <c r="S75" s="111">
        <f t="shared" si="39"/>
        <v>9133.036525</v>
      </c>
      <c r="T75" s="111">
        <f t="shared" si="39"/>
        <v>8250.523686</v>
      </c>
      <c r="U75" s="111">
        <f t="shared" si="39"/>
        <v>7304.116916</v>
      </c>
      <c r="V75" s="111">
        <f t="shared" si="39"/>
        <v>6289.190297</v>
      </c>
      <c r="W75" s="111">
        <f t="shared" si="39"/>
        <v>5200.782991</v>
      </c>
      <c r="X75" s="111">
        <f t="shared" si="39"/>
        <v>4033.574996</v>
      </c>
      <c r="Y75" s="111">
        <f t="shared" si="39"/>
        <v>2781.861141</v>
      </c>
      <c r="Z75" s="111">
        <f t="shared" si="39"/>
        <v>1439.523204</v>
      </c>
      <c r="AA75" s="111">
        <f t="shared" si="39"/>
        <v>0</v>
      </c>
      <c r="AB75" s="111"/>
      <c r="AC75" s="112"/>
      <c r="AD75" s="20"/>
    </row>
    <row r="76">
      <c r="A76" s="113" t="s">
        <v>13</v>
      </c>
      <c r="B76" s="111">
        <v>0.0</v>
      </c>
      <c r="C76" s="111">
        <f t="shared" ref="C76:AA76" si="40">B75*$AC$3</f>
        <v>1274.80472</v>
      </c>
      <c r="D76" s="111">
        <f t="shared" si="40"/>
        <v>1255.333467</v>
      </c>
      <c r="E76" s="111">
        <f t="shared" si="40"/>
        <v>1234.452494</v>
      </c>
      <c r="F76" s="111">
        <f t="shared" si="40"/>
        <v>1212.05974</v>
      </c>
      <c r="G76" s="111">
        <f t="shared" si="40"/>
        <v>1188.04575</v>
      </c>
      <c r="H76" s="111">
        <f t="shared" si="40"/>
        <v>1162.293147</v>
      </c>
      <c r="I76" s="111">
        <f t="shared" si="40"/>
        <v>1134.676056</v>
      </c>
      <c r="J76" s="111">
        <f t="shared" si="40"/>
        <v>1105.059487</v>
      </c>
      <c r="K76" s="111">
        <f t="shared" si="40"/>
        <v>1073.298679</v>
      </c>
      <c r="L76" s="111">
        <f t="shared" si="40"/>
        <v>1039.238388</v>
      </c>
      <c r="M76" s="111">
        <f t="shared" si="40"/>
        <v>1002.712132</v>
      </c>
      <c r="N76" s="111">
        <f t="shared" si="40"/>
        <v>963.5413758</v>
      </c>
      <c r="O76" s="111">
        <f t="shared" si="40"/>
        <v>921.5346562</v>
      </c>
      <c r="P76" s="111">
        <f t="shared" si="40"/>
        <v>876.4866502</v>
      </c>
      <c r="Q76" s="111">
        <f t="shared" si="40"/>
        <v>828.1771686</v>
      </c>
      <c r="R76" s="111">
        <f t="shared" si="40"/>
        <v>776.3700805</v>
      </c>
      <c r="S76" s="111">
        <f t="shared" si="40"/>
        <v>720.8121592</v>
      </c>
      <c r="T76" s="111">
        <f t="shared" si="40"/>
        <v>661.2318444</v>
      </c>
      <c r="U76" s="111">
        <f t="shared" si="40"/>
        <v>597.3379148</v>
      </c>
      <c r="V76" s="111">
        <f t="shared" si="40"/>
        <v>528.8180648</v>
      </c>
      <c r="W76" s="111">
        <f t="shared" si="40"/>
        <v>455.3373775</v>
      </c>
      <c r="X76" s="111">
        <f t="shared" si="40"/>
        <v>376.5366885</v>
      </c>
      <c r="Y76" s="111">
        <f t="shared" si="40"/>
        <v>292.0308297</v>
      </c>
      <c r="Z76" s="111">
        <f t="shared" si="40"/>
        <v>201.4067466</v>
      </c>
      <c r="AA76" s="111">
        <f t="shared" si="40"/>
        <v>104.22148</v>
      </c>
      <c r="AB76" s="114">
        <f t="shared" ref="AB76:AB78" si="42">-SUM(B76:AA76)</f>
        <v>-20985.8171</v>
      </c>
      <c r="AC76" s="115">
        <f t="shared" ref="AC76:AC78" si="43">-(B76+NPV($AC$4, C76:AA76))</f>
        <v>-12050.31421</v>
      </c>
      <c r="AD76" s="20"/>
    </row>
    <row r="77">
      <c r="A77" s="113" t="s">
        <v>14</v>
      </c>
      <c r="B77" s="111">
        <v>0.0</v>
      </c>
      <c r="C77" s="111">
        <f t="shared" ref="C77:AA77" si="41">IF(B75=0, 0, C78-C76)</f>
        <v>268.9399639</v>
      </c>
      <c r="D77" s="111">
        <f t="shared" si="41"/>
        <v>288.4112173</v>
      </c>
      <c r="E77" s="111">
        <f t="shared" si="41"/>
        <v>309.2921895</v>
      </c>
      <c r="F77" s="111">
        <f t="shared" si="41"/>
        <v>331.684944</v>
      </c>
      <c r="G77" s="111">
        <f t="shared" si="41"/>
        <v>355.6989339</v>
      </c>
      <c r="H77" s="111">
        <f t="shared" si="41"/>
        <v>381.4515367</v>
      </c>
      <c r="I77" s="111">
        <f t="shared" si="41"/>
        <v>409.068628</v>
      </c>
      <c r="J77" s="111">
        <f t="shared" si="41"/>
        <v>438.6851966</v>
      </c>
      <c r="K77" s="111">
        <f t="shared" si="41"/>
        <v>470.4460049</v>
      </c>
      <c r="L77" s="111">
        <f t="shared" si="41"/>
        <v>504.5062956</v>
      </c>
      <c r="M77" s="111">
        <f t="shared" si="41"/>
        <v>541.0325514</v>
      </c>
      <c r="N77" s="111">
        <f t="shared" si="41"/>
        <v>580.2033082</v>
      </c>
      <c r="O77" s="111">
        <f t="shared" si="41"/>
        <v>622.2100277</v>
      </c>
      <c r="P77" s="111">
        <f t="shared" si="41"/>
        <v>667.2580337</v>
      </c>
      <c r="Q77" s="111">
        <f t="shared" si="41"/>
        <v>715.5675153</v>
      </c>
      <c r="R77" s="111">
        <f t="shared" si="41"/>
        <v>767.3746034</v>
      </c>
      <c r="S77" s="111">
        <f t="shared" si="41"/>
        <v>822.9325247</v>
      </c>
      <c r="T77" s="111">
        <f t="shared" si="41"/>
        <v>882.5128395</v>
      </c>
      <c r="U77" s="111">
        <f t="shared" si="41"/>
        <v>946.4067691</v>
      </c>
      <c r="V77" s="111">
        <f t="shared" si="41"/>
        <v>1014.926619</v>
      </c>
      <c r="W77" s="111">
        <f t="shared" si="41"/>
        <v>1088.407306</v>
      </c>
      <c r="X77" s="111">
        <f t="shared" si="41"/>
        <v>1167.207995</v>
      </c>
      <c r="Y77" s="111">
        <f t="shared" si="41"/>
        <v>1251.713854</v>
      </c>
      <c r="Z77" s="111">
        <f t="shared" si="41"/>
        <v>1342.337937</v>
      </c>
      <c r="AA77" s="111">
        <f t="shared" si="41"/>
        <v>1439.523204</v>
      </c>
      <c r="AB77" s="114">
        <f t="shared" si="42"/>
        <v>-17607.8</v>
      </c>
      <c r="AC77" s="115">
        <f t="shared" si="43"/>
        <v>-6955.588544</v>
      </c>
      <c r="AD77" s="20"/>
    </row>
    <row r="78">
      <c r="A78" s="113" t="s">
        <v>15</v>
      </c>
      <c r="B78" s="111">
        <f>B76+B77</f>
        <v>0</v>
      </c>
      <c r="C78" s="111">
        <f t="shared" ref="C78:AA78" si="44">ABS(PMT($AC$68,25,$B$75,0))</f>
        <v>1543.744684</v>
      </c>
      <c r="D78" s="111">
        <f t="shared" si="44"/>
        <v>1543.744684</v>
      </c>
      <c r="E78" s="111">
        <f t="shared" si="44"/>
        <v>1543.744684</v>
      </c>
      <c r="F78" s="111">
        <f t="shared" si="44"/>
        <v>1543.744684</v>
      </c>
      <c r="G78" s="111">
        <f t="shared" si="44"/>
        <v>1543.744684</v>
      </c>
      <c r="H78" s="111">
        <f t="shared" si="44"/>
        <v>1543.744684</v>
      </c>
      <c r="I78" s="111">
        <f t="shared" si="44"/>
        <v>1543.744684</v>
      </c>
      <c r="J78" s="111">
        <f t="shared" si="44"/>
        <v>1543.744684</v>
      </c>
      <c r="K78" s="111">
        <f t="shared" si="44"/>
        <v>1543.744684</v>
      </c>
      <c r="L78" s="111">
        <f t="shared" si="44"/>
        <v>1543.744684</v>
      </c>
      <c r="M78" s="111">
        <f t="shared" si="44"/>
        <v>1543.744684</v>
      </c>
      <c r="N78" s="111">
        <f t="shared" si="44"/>
        <v>1543.744684</v>
      </c>
      <c r="O78" s="111">
        <f t="shared" si="44"/>
        <v>1543.744684</v>
      </c>
      <c r="P78" s="111">
        <f t="shared" si="44"/>
        <v>1543.744684</v>
      </c>
      <c r="Q78" s="111">
        <f t="shared" si="44"/>
        <v>1543.744684</v>
      </c>
      <c r="R78" s="111">
        <f t="shared" si="44"/>
        <v>1543.744684</v>
      </c>
      <c r="S78" s="111">
        <f t="shared" si="44"/>
        <v>1543.744684</v>
      </c>
      <c r="T78" s="111">
        <f t="shared" si="44"/>
        <v>1543.744684</v>
      </c>
      <c r="U78" s="111">
        <f t="shared" si="44"/>
        <v>1543.744684</v>
      </c>
      <c r="V78" s="111">
        <f t="shared" si="44"/>
        <v>1543.744684</v>
      </c>
      <c r="W78" s="111">
        <f t="shared" si="44"/>
        <v>1543.744684</v>
      </c>
      <c r="X78" s="111">
        <f t="shared" si="44"/>
        <v>1543.744684</v>
      </c>
      <c r="Y78" s="111">
        <f t="shared" si="44"/>
        <v>1543.744684</v>
      </c>
      <c r="Z78" s="111">
        <f t="shared" si="44"/>
        <v>1543.744684</v>
      </c>
      <c r="AA78" s="111">
        <f t="shared" si="44"/>
        <v>1543.744684</v>
      </c>
      <c r="AB78" s="114">
        <f t="shared" si="42"/>
        <v>-38593.6171</v>
      </c>
      <c r="AC78" s="115">
        <f t="shared" si="43"/>
        <v>-19005.90275</v>
      </c>
      <c r="AD78" s="20"/>
    </row>
    <row r="79">
      <c r="A79" s="116" t="s">
        <v>16</v>
      </c>
      <c r="B79" s="117">
        <v>0.0</v>
      </c>
      <c r="C79" s="111">
        <v>1744.0</v>
      </c>
      <c r="D79" s="111">
        <v>1788.0</v>
      </c>
      <c r="E79" s="111">
        <v>1833.0</v>
      </c>
      <c r="F79" s="111">
        <v>1879.0</v>
      </c>
      <c r="G79" s="111">
        <v>1926.0</v>
      </c>
      <c r="H79" s="111">
        <v>1974.0</v>
      </c>
      <c r="I79" s="111">
        <v>2023.0</v>
      </c>
      <c r="J79" s="111">
        <v>2074.0</v>
      </c>
      <c r="K79" s="111">
        <v>2125.0</v>
      </c>
      <c r="L79" s="111">
        <v>2179.0</v>
      </c>
      <c r="M79" s="111">
        <v>2233.0</v>
      </c>
      <c r="N79" s="111">
        <v>2289.0</v>
      </c>
      <c r="O79" s="111">
        <v>2346.0</v>
      </c>
      <c r="P79" s="111">
        <v>2405.0</v>
      </c>
      <c r="Q79" s="111">
        <v>2465.0</v>
      </c>
      <c r="R79" s="111">
        <v>2527.0</v>
      </c>
      <c r="S79" s="111">
        <v>2590.0</v>
      </c>
      <c r="T79" s="111">
        <v>2654.0</v>
      </c>
      <c r="U79" s="111">
        <v>2721.0</v>
      </c>
      <c r="V79" s="111">
        <v>2789.0</v>
      </c>
      <c r="W79" s="111">
        <v>2859.0</v>
      </c>
      <c r="X79" s="111">
        <v>2930.0</v>
      </c>
      <c r="Y79" s="111">
        <v>3003.0</v>
      </c>
      <c r="Z79" s="111">
        <v>3078.0</v>
      </c>
      <c r="AA79" s="111">
        <v>3155.0</v>
      </c>
      <c r="AB79" s="111"/>
      <c r="AC79" s="118">
        <f t="shared" ref="AC79:AC83" si="45">B79+NPV($AC$4, C79:AA79)</f>
        <v>27145.46781</v>
      </c>
      <c r="AD79" s="20"/>
    </row>
    <row r="80">
      <c r="A80" s="116" t="s">
        <v>17</v>
      </c>
      <c r="B80" s="117">
        <v>0.0</v>
      </c>
      <c r="C80" s="111">
        <v>1113.0</v>
      </c>
      <c r="D80" s="111">
        <v>1143.0</v>
      </c>
      <c r="E80" s="111">
        <v>1174.0</v>
      </c>
      <c r="F80" s="111">
        <v>1206.0</v>
      </c>
      <c r="G80" s="111">
        <v>1239.0</v>
      </c>
      <c r="H80" s="111">
        <v>1272.0</v>
      </c>
      <c r="I80" s="111">
        <v>1306.0</v>
      </c>
      <c r="J80" s="111">
        <v>1342.0</v>
      </c>
      <c r="K80" s="111">
        <v>1378.0</v>
      </c>
      <c r="L80" s="111">
        <v>1415.0</v>
      </c>
      <c r="M80" s="111">
        <v>1454.0</v>
      </c>
      <c r="N80" s="111">
        <v>1493.0</v>
      </c>
      <c r="O80" s="111">
        <v>1533.0</v>
      </c>
      <c r="P80" s="111">
        <v>1574.0</v>
      </c>
      <c r="Q80" s="111">
        <v>1617.0</v>
      </c>
      <c r="R80" s="111">
        <v>1660.0</v>
      </c>
      <c r="S80" s="111">
        <v>1705.0</v>
      </c>
      <c r="T80" s="111">
        <v>1751.0</v>
      </c>
      <c r="U80" s="111">
        <v>1798.0</v>
      </c>
      <c r="V80" s="111">
        <v>1847.0</v>
      </c>
      <c r="W80" s="111">
        <v>1896.0</v>
      </c>
      <c r="X80" s="111">
        <v>1947.0</v>
      </c>
      <c r="Y80" s="111">
        <v>2000.0</v>
      </c>
      <c r="Z80" s="111">
        <v>2054.0</v>
      </c>
      <c r="AA80" s="111">
        <v>2109.0</v>
      </c>
      <c r="AB80" s="111"/>
      <c r="AC80" s="118">
        <f t="shared" si="45"/>
        <v>17668.5864</v>
      </c>
      <c r="AD80" s="20"/>
    </row>
    <row r="81">
      <c r="A81" s="116" t="s">
        <v>25</v>
      </c>
      <c r="B81" s="111">
        <v>0.0</v>
      </c>
      <c r="C81" s="111">
        <f>C79-C80+$AC$7</f>
        <v>907.51</v>
      </c>
      <c r="D81" s="111">
        <f t="shared" ref="D81:AA81" si="46">D79-D80</f>
        <v>645</v>
      </c>
      <c r="E81" s="111">
        <f t="shared" si="46"/>
        <v>659</v>
      </c>
      <c r="F81" s="111">
        <f t="shared" si="46"/>
        <v>673</v>
      </c>
      <c r="G81" s="111">
        <f t="shared" si="46"/>
        <v>687</v>
      </c>
      <c r="H81" s="111">
        <f t="shared" si="46"/>
        <v>702</v>
      </c>
      <c r="I81" s="111">
        <f t="shared" si="46"/>
        <v>717</v>
      </c>
      <c r="J81" s="111">
        <f t="shared" si="46"/>
        <v>732</v>
      </c>
      <c r="K81" s="111">
        <f t="shared" si="46"/>
        <v>747</v>
      </c>
      <c r="L81" s="111">
        <f t="shared" si="46"/>
        <v>764</v>
      </c>
      <c r="M81" s="111">
        <f t="shared" si="46"/>
        <v>779</v>
      </c>
      <c r="N81" s="111">
        <f t="shared" si="46"/>
        <v>796</v>
      </c>
      <c r="O81" s="111">
        <f t="shared" si="46"/>
        <v>813</v>
      </c>
      <c r="P81" s="111">
        <f t="shared" si="46"/>
        <v>831</v>
      </c>
      <c r="Q81" s="111">
        <f t="shared" si="46"/>
        <v>848</v>
      </c>
      <c r="R81" s="111">
        <f t="shared" si="46"/>
        <v>867</v>
      </c>
      <c r="S81" s="111">
        <f t="shared" si="46"/>
        <v>885</v>
      </c>
      <c r="T81" s="111">
        <f t="shared" si="46"/>
        <v>903</v>
      </c>
      <c r="U81" s="111">
        <f t="shared" si="46"/>
        <v>923</v>
      </c>
      <c r="V81" s="111">
        <f t="shared" si="46"/>
        <v>942</v>
      </c>
      <c r="W81" s="111">
        <f t="shared" si="46"/>
        <v>963</v>
      </c>
      <c r="X81" s="111">
        <f t="shared" si="46"/>
        <v>983</v>
      </c>
      <c r="Y81" s="111">
        <f t="shared" si="46"/>
        <v>1003</v>
      </c>
      <c r="Z81" s="111">
        <f t="shared" si="46"/>
        <v>1024</v>
      </c>
      <c r="AA81" s="111">
        <f t="shared" si="46"/>
        <v>1046</v>
      </c>
      <c r="AB81" s="111">
        <f t="shared" ref="AB81:AB83" si="48">SUM(B81:AA81)</f>
        <v>20839.51</v>
      </c>
      <c r="AC81" s="118">
        <f t="shared" si="45"/>
        <v>9736.759227</v>
      </c>
      <c r="AD81" s="20"/>
    </row>
    <row r="82">
      <c r="A82" s="119" t="s">
        <v>19</v>
      </c>
      <c r="B82" s="111">
        <f>AC70+AC71</f>
        <v>7477.2</v>
      </c>
      <c r="C82" s="111">
        <f t="shared" ref="C82:AA82" si="47">$AC$72</f>
        <v>276.51</v>
      </c>
      <c r="D82" s="109">
        <f t="shared" si="47"/>
        <v>276.51</v>
      </c>
      <c r="E82" s="109">
        <f t="shared" si="47"/>
        <v>276.51</v>
      </c>
      <c r="F82" s="109">
        <f t="shared" si="47"/>
        <v>276.51</v>
      </c>
      <c r="G82" s="109">
        <f t="shared" si="47"/>
        <v>276.51</v>
      </c>
      <c r="H82" s="109">
        <f t="shared" si="47"/>
        <v>276.51</v>
      </c>
      <c r="I82" s="109">
        <f t="shared" si="47"/>
        <v>276.51</v>
      </c>
      <c r="J82" s="109">
        <f t="shared" si="47"/>
        <v>276.51</v>
      </c>
      <c r="K82" s="109">
        <f t="shared" si="47"/>
        <v>276.51</v>
      </c>
      <c r="L82" s="109">
        <f t="shared" si="47"/>
        <v>276.51</v>
      </c>
      <c r="M82" s="109">
        <f t="shared" si="47"/>
        <v>276.51</v>
      </c>
      <c r="N82" s="109">
        <f t="shared" si="47"/>
        <v>276.51</v>
      </c>
      <c r="O82" s="109">
        <f t="shared" si="47"/>
        <v>276.51</v>
      </c>
      <c r="P82" s="109">
        <f t="shared" si="47"/>
        <v>276.51</v>
      </c>
      <c r="Q82" s="109">
        <f t="shared" si="47"/>
        <v>276.51</v>
      </c>
      <c r="R82" s="109">
        <f t="shared" si="47"/>
        <v>276.51</v>
      </c>
      <c r="S82" s="109">
        <f t="shared" si="47"/>
        <v>276.51</v>
      </c>
      <c r="T82" s="109">
        <f t="shared" si="47"/>
        <v>276.51</v>
      </c>
      <c r="U82" s="109">
        <f t="shared" si="47"/>
        <v>276.51</v>
      </c>
      <c r="V82" s="109">
        <f t="shared" si="47"/>
        <v>276.51</v>
      </c>
      <c r="W82" s="109">
        <f t="shared" si="47"/>
        <v>276.51</v>
      </c>
      <c r="X82" s="109">
        <f t="shared" si="47"/>
        <v>276.51</v>
      </c>
      <c r="Y82" s="109">
        <f t="shared" si="47"/>
        <v>276.51</v>
      </c>
      <c r="Z82" s="109">
        <f t="shared" si="47"/>
        <v>276.51</v>
      </c>
      <c r="AA82" s="109">
        <f t="shared" si="47"/>
        <v>276.51</v>
      </c>
      <c r="AB82" s="111">
        <f t="shared" si="48"/>
        <v>14389.95</v>
      </c>
      <c r="AC82" s="118">
        <f t="shared" si="45"/>
        <v>10881.469</v>
      </c>
      <c r="AD82" s="20"/>
    </row>
    <row r="83">
      <c r="A83" s="120" t="s">
        <v>20</v>
      </c>
      <c r="B83" s="118">
        <f t="shared" ref="B83:AA83" si="49">B81+B82</f>
        <v>7477.2</v>
      </c>
      <c r="C83" s="118">
        <f t="shared" si="49"/>
        <v>1184.02</v>
      </c>
      <c r="D83" s="118">
        <f t="shared" si="49"/>
        <v>921.51</v>
      </c>
      <c r="E83" s="118">
        <f t="shared" si="49"/>
        <v>935.51</v>
      </c>
      <c r="F83" s="118">
        <f t="shared" si="49"/>
        <v>949.51</v>
      </c>
      <c r="G83" s="118">
        <f t="shared" si="49"/>
        <v>963.51</v>
      </c>
      <c r="H83" s="118">
        <f t="shared" si="49"/>
        <v>978.51</v>
      </c>
      <c r="I83" s="118">
        <f t="shared" si="49"/>
        <v>993.51</v>
      </c>
      <c r="J83" s="118">
        <f t="shared" si="49"/>
        <v>1008.51</v>
      </c>
      <c r="K83" s="118">
        <f t="shared" si="49"/>
        <v>1023.51</v>
      </c>
      <c r="L83" s="118">
        <f t="shared" si="49"/>
        <v>1040.51</v>
      </c>
      <c r="M83" s="118">
        <f t="shared" si="49"/>
        <v>1055.51</v>
      </c>
      <c r="N83" s="118">
        <f t="shared" si="49"/>
        <v>1072.51</v>
      </c>
      <c r="O83" s="118">
        <f t="shared" si="49"/>
        <v>1089.51</v>
      </c>
      <c r="P83" s="118">
        <f t="shared" si="49"/>
        <v>1107.51</v>
      </c>
      <c r="Q83" s="118">
        <f t="shared" si="49"/>
        <v>1124.51</v>
      </c>
      <c r="R83" s="118">
        <f t="shared" si="49"/>
        <v>1143.51</v>
      </c>
      <c r="S83" s="118">
        <f t="shared" si="49"/>
        <v>1161.51</v>
      </c>
      <c r="T83" s="118">
        <f t="shared" si="49"/>
        <v>1179.51</v>
      </c>
      <c r="U83" s="118">
        <f t="shared" si="49"/>
        <v>1199.51</v>
      </c>
      <c r="V83" s="118">
        <f t="shared" si="49"/>
        <v>1218.51</v>
      </c>
      <c r="W83" s="118">
        <f t="shared" si="49"/>
        <v>1239.51</v>
      </c>
      <c r="X83" s="118">
        <f t="shared" si="49"/>
        <v>1259.51</v>
      </c>
      <c r="Y83" s="118">
        <f t="shared" si="49"/>
        <v>1279.51</v>
      </c>
      <c r="Z83" s="118">
        <f t="shared" si="49"/>
        <v>1300.51</v>
      </c>
      <c r="AA83" s="118">
        <f t="shared" si="49"/>
        <v>1322.51</v>
      </c>
      <c r="AB83" s="111">
        <f t="shared" si="48"/>
        <v>35229.46</v>
      </c>
      <c r="AC83" s="118">
        <f t="shared" si="45"/>
        <v>20618.22823</v>
      </c>
      <c r="AD83" s="20"/>
    </row>
    <row r="84">
      <c r="A84" s="108" t="s">
        <v>21</v>
      </c>
      <c r="B84" s="112"/>
      <c r="C84" s="121">
        <f t="shared" ref="C84:AA84" si="50">C83-C78</f>
        <v>-359.7246839</v>
      </c>
      <c r="D84" s="112">
        <f t="shared" si="50"/>
        <v>-622.2346839</v>
      </c>
      <c r="E84" s="112">
        <f t="shared" si="50"/>
        <v>-608.2346839</v>
      </c>
      <c r="F84" s="112">
        <f t="shared" si="50"/>
        <v>-594.2346839</v>
      </c>
      <c r="G84" s="112">
        <f t="shared" si="50"/>
        <v>-580.2346839</v>
      </c>
      <c r="H84" s="112">
        <f t="shared" si="50"/>
        <v>-565.2346839</v>
      </c>
      <c r="I84" s="112">
        <f t="shared" si="50"/>
        <v>-550.2346839</v>
      </c>
      <c r="J84" s="112">
        <f t="shared" si="50"/>
        <v>-535.2346839</v>
      </c>
      <c r="K84" s="112">
        <f t="shared" si="50"/>
        <v>-520.2346839</v>
      </c>
      <c r="L84" s="112">
        <f t="shared" si="50"/>
        <v>-503.2346839</v>
      </c>
      <c r="M84" s="112">
        <f t="shared" si="50"/>
        <v>-488.2346839</v>
      </c>
      <c r="N84" s="112">
        <f t="shared" si="50"/>
        <v>-471.2346839</v>
      </c>
      <c r="O84" s="112">
        <f t="shared" si="50"/>
        <v>-454.2346839</v>
      </c>
      <c r="P84" s="112">
        <f t="shared" si="50"/>
        <v>-436.2346839</v>
      </c>
      <c r="Q84" s="112">
        <f t="shared" si="50"/>
        <v>-419.2346839</v>
      </c>
      <c r="R84" s="112">
        <f t="shared" si="50"/>
        <v>-400.2346839</v>
      </c>
      <c r="S84" s="112">
        <f t="shared" si="50"/>
        <v>-382.2346839</v>
      </c>
      <c r="T84" s="112">
        <f t="shared" si="50"/>
        <v>-364.2346839</v>
      </c>
      <c r="U84" s="112">
        <f t="shared" si="50"/>
        <v>-344.2346839</v>
      </c>
      <c r="V84" s="112">
        <f t="shared" si="50"/>
        <v>-325.2346839</v>
      </c>
      <c r="W84" s="112">
        <f t="shared" si="50"/>
        <v>-304.2346839</v>
      </c>
      <c r="X84" s="112">
        <f t="shared" si="50"/>
        <v>-284.2346839</v>
      </c>
      <c r="Y84" s="112">
        <f t="shared" si="50"/>
        <v>-264.2346839</v>
      </c>
      <c r="Z84" s="112">
        <f t="shared" si="50"/>
        <v>-243.2346839</v>
      </c>
      <c r="AA84" s="112">
        <f t="shared" si="50"/>
        <v>-221.2346839</v>
      </c>
      <c r="AB84" s="115">
        <f t="shared" ref="AB84:AC84" si="51">AB83+AB78</f>
        <v>-3364.157098</v>
      </c>
      <c r="AC84" s="116">
        <f t="shared" si="51"/>
        <v>1612.325473</v>
      </c>
      <c r="AD84" s="20"/>
    </row>
    <row r="85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4.22"/>
    <col customWidth="1" hidden="1" min="2" max="2" width="14.44"/>
    <col customWidth="1" hidden="1" min="3" max="4" width="14.78"/>
    <col customWidth="1" hidden="1" min="5" max="5" width="13.0"/>
    <col customWidth="1" hidden="1" min="6" max="23" width="14.78"/>
    <col customWidth="1" hidden="1" min="24" max="27" width="13.44"/>
    <col customWidth="1" min="28" max="29" width="17.0"/>
    <col customWidth="1" min="30" max="30" width="10.78"/>
    <col customWidth="1" min="31" max="31" width="13.44"/>
    <col customWidth="1" min="32" max="33" width="10.78"/>
  </cols>
  <sheetData>
    <row r="1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4"/>
      <c r="AE1" s="4"/>
      <c r="AF1" s="4"/>
      <c r="AG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122">
        <v>37036.0</v>
      </c>
      <c r="AC2" s="6"/>
      <c r="AD2" s="9"/>
      <c r="AE2" s="20"/>
      <c r="AF2" s="20"/>
      <c r="AG2" s="20"/>
    </row>
    <row r="3">
      <c r="A3" s="5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23">
        <v>0.0724</v>
      </c>
      <c r="AC3" s="6"/>
      <c r="AD3" s="9"/>
      <c r="AE3" s="20"/>
      <c r="AF3" s="20"/>
      <c r="AG3" s="20"/>
    </row>
    <row r="4">
      <c r="A4" s="12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124">
        <f>AB2*0.3</f>
        <v>11110.8</v>
      </c>
      <c r="AC4" s="6"/>
      <c r="AD4" s="14"/>
      <c r="AE4" s="20"/>
      <c r="AF4" s="20"/>
      <c r="AG4" s="20"/>
    </row>
    <row r="5">
      <c r="A5" s="12" t="s">
        <v>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125">
        <v>9000.0</v>
      </c>
      <c r="AC5" s="6"/>
      <c r="AD5" s="14"/>
      <c r="AE5" s="20"/>
      <c r="AF5" s="20"/>
      <c r="AG5" s="20"/>
    </row>
    <row r="6">
      <c r="A6" s="12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125">
        <f>600</f>
        <v>600</v>
      </c>
      <c r="AC6" s="6"/>
      <c r="AD6" s="14"/>
      <c r="AE6" s="20"/>
      <c r="AF6" s="20"/>
      <c r="AG6" s="20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8" t="s">
        <v>9</v>
      </c>
      <c r="AC7" s="19" t="s">
        <v>10</v>
      </c>
      <c r="AD7" s="20"/>
      <c r="AE7" s="20"/>
      <c r="AF7" s="20"/>
      <c r="AG7" s="20"/>
    </row>
    <row r="8" hidden="1">
      <c r="A8" s="19" t="s">
        <v>11</v>
      </c>
      <c r="B8" s="21">
        <v>0.0</v>
      </c>
      <c r="C8" s="21">
        <v>1.0</v>
      </c>
      <c r="D8" s="21">
        <v>2.0</v>
      </c>
      <c r="E8" s="21">
        <v>3.0</v>
      </c>
      <c r="F8" s="21">
        <v>4.0</v>
      </c>
      <c r="G8" s="21">
        <v>5.0</v>
      </c>
      <c r="H8" s="21">
        <v>6.0</v>
      </c>
      <c r="I8" s="21">
        <v>7.0</v>
      </c>
      <c r="J8" s="21">
        <v>8.0</v>
      </c>
      <c r="K8" s="21">
        <v>9.0</v>
      </c>
      <c r="L8" s="21">
        <v>10.0</v>
      </c>
      <c r="M8" s="21">
        <v>11.0</v>
      </c>
      <c r="N8" s="21">
        <v>12.0</v>
      </c>
      <c r="O8" s="21">
        <v>13.0</v>
      </c>
      <c r="P8" s="21">
        <v>14.0</v>
      </c>
      <c r="Q8" s="21">
        <v>15.0</v>
      </c>
      <c r="R8" s="21">
        <v>16.0</v>
      </c>
      <c r="S8" s="21">
        <v>17.0</v>
      </c>
      <c r="T8" s="21">
        <v>18.0</v>
      </c>
      <c r="U8" s="21">
        <v>19.0</v>
      </c>
      <c r="V8" s="21">
        <v>20.0</v>
      </c>
      <c r="W8" s="21">
        <v>21.0</v>
      </c>
      <c r="X8" s="21">
        <v>22.0</v>
      </c>
      <c r="Y8" s="21">
        <v>23.0</v>
      </c>
      <c r="Z8" s="21">
        <v>24.0</v>
      </c>
      <c r="AA8" s="21">
        <v>25.0</v>
      </c>
      <c r="AB8" s="21"/>
      <c r="AC8" s="17"/>
      <c r="AD8" s="22"/>
      <c r="AE8" s="22"/>
      <c r="AF8" s="22"/>
      <c r="AG8" s="22"/>
    </row>
    <row r="9" hidden="1">
      <c r="A9" s="23" t="s">
        <v>12</v>
      </c>
      <c r="B9" s="21">
        <f>AB2-B11</f>
        <v>37036</v>
      </c>
      <c r="C9" s="21">
        <f t="shared" ref="C9:AA9" si="1">B9-C11</f>
        <v>36470.31545</v>
      </c>
      <c r="D9" s="21">
        <f t="shared" si="1"/>
        <v>35863.67533</v>
      </c>
      <c r="E9" s="21">
        <f t="shared" si="1"/>
        <v>35213.11447</v>
      </c>
      <c r="F9" s="21">
        <f t="shared" si="1"/>
        <v>34515.453</v>
      </c>
      <c r="G9" s="21">
        <f t="shared" si="1"/>
        <v>33767.28084</v>
      </c>
      <c r="H9" s="21">
        <f t="shared" si="1"/>
        <v>32964.94102</v>
      </c>
      <c r="I9" s="21">
        <f t="shared" si="1"/>
        <v>32104.5118</v>
      </c>
      <c r="J9" s="21">
        <f t="shared" si="1"/>
        <v>31181.7875</v>
      </c>
      <c r="K9" s="21">
        <f t="shared" si="1"/>
        <v>30192.25796</v>
      </c>
      <c r="L9" s="21">
        <f t="shared" si="1"/>
        <v>29131.08648</v>
      </c>
      <c r="M9" s="21">
        <f t="shared" si="1"/>
        <v>27993.08618</v>
      </c>
      <c r="N9" s="21">
        <f t="shared" si="1"/>
        <v>26772.69467</v>
      </c>
      <c r="O9" s="21">
        <f t="shared" si="1"/>
        <v>25463.94681</v>
      </c>
      <c r="P9" s="21">
        <f t="shared" si="1"/>
        <v>24060.4456</v>
      </c>
      <c r="Q9" s="21">
        <f t="shared" si="1"/>
        <v>22555.33091</v>
      </c>
      <c r="R9" s="21">
        <f t="shared" si="1"/>
        <v>20941.24591</v>
      </c>
      <c r="S9" s="21">
        <f t="shared" si="1"/>
        <v>19210.30116</v>
      </c>
      <c r="T9" s="21">
        <f t="shared" si="1"/>
        <v>17354.03601</v>
      </c>
      <c r="U9" s="21">
        <f t="shared" si="1"/>
        <v>15363.37726</v>
      </c>
      <c r="V9" s="21">
        <f t="shared" si="1"/>
        <v>13228.59482</v>
      </c>
      <c r="W9" s="21">
        <f t="shared" si="1"/>
        <v>10939.25413</v>
      </c>
      <c r="X9" s="21">
        <f t="shared" si="1"/>
        <v>8484.165173</v>
      </c>
      <c r="Y9" s="21">
        <f t="shared" si="1"/>
        <v>5851.327777</v>
      </c>
      <c r="Z9" s="21">
        <f t="shared" si="1"/>
        <v>3027.872953</v>
      </c>
      <c r="AA9" s="21">
        <f t="shared" si="1"/>
        <v>0</v>
      </c>
      <c r="AB9" s="21"/>
      <c r="AC9" s="17"/>
      <c r="AD9" s="22"/>
      <c r="AE9" s="22"/>
      <c r="AF9" s="22"/>
      <c r="AG9" s="22"/>
    </row>
    <row r="10">
      <c r="A10" s="23" t="s">
        <v>13</v>
      </c>
      <c r="B10" s="21">
        <v>0.0</v>
      </c>
      <c r="C10" s="21">
        <f t="shared" ref="C10:AA10" si="2">B9*$AB$3</f>
        <v>2681.4064</v>
      </c>
      <c r="D10" s="21">
        <f t="shared" si="2"/>
        <v>2640.450838</v>
      </c>
      <c r="E10" s="21">
        <f t="shared" si="2"/>
        <v>2596.530094</v>
      </c>
      <c r="F10" s="21">
        <f t="shared" si="2"/>
        <v>2549.429487</v>
      </c>
      <c r="G10" s="21">
        <f t="shared" si="2"/>
        <v>2498.918797</v>
      </c>
      <c r="H10" s="21">
        <f t="shared" si="2"/>
        <v>2444.751133</v>
      </c>
      <c r="I10" s="21">
        <f t="shared" si="2"/>
        <v>2386.66173</v>
      </c>
      <c r="J10" s="21">
        <f t="shared" si="2"/>
        <v>2324.366654</v>
      </c>
      <c r="K10" s="21">
        <f t="shared" si="2"/>
        <v>2257.561415</v>
      </c>
      <c r="L10" s="21">
        <f t="shared" si="2"/>
        <v>2185.919476</v>
      </c>
      <c r="M10" s="21">
        <f t="shared" si="2"/>
        <v>2109.090661</v>
      </c>
      <c r="N10" s="21">
        <f t="shared" si="2"/>
        <v>2026.69944</v>
      </c>
      <c r="O10" s="21">
        <f t="shared" si="2"/>
        <v>1938.343094</v>
      </c>
      <c r="P10" s="21">
        <f t="shared" si="2"/>
        <v>1843.589749</v>
      </c>
      <c r="Q10" s="21">
        <f t="shared" si="2"/>
        <v>1741.976261</v>
      </c>
      <c r="R10" s="21">
        <f t="shared" si="2"/>
        <v>1633.005958</v>
      </c>
      <c r="S10" s="21">
        <f t="shared" si="2"/>
        <v>1516.146204</v>
      </c>
      <c r="T10" s="21">
        <f t="shared" si="2"/>
        <v>1390.825804</v>
      </c>
      <c r="U10" s="21">
        <f t="shared" si="2"/>
        <v>1256.432207</v>
      </c>
      <c r="V10" s="21">
        <f t="shared" si="2"/>
        <v>1112.308514</v>
      </c>
      <c r="W10" s="21">
        <f t="shared" si="2"/>
        <v>957.7502649</v>
      </c>
      <c r="X10" s="21">
        <f t="shared" si="2"/>
        <v>792.0019989</v>
      </c>
      <c r="Y10" s="21">
        <f t="shared" si="2"/>
        <v>614.2535585</v>
      </c>
      <c r="Z10" s="21">
        <f t="shared" si="2"/>
        <v>423.636131</v>
      </c>
      <c r="AA10" s="21">
        <f t="shared" si="2"/>
        <v>219.2180018</v>
      </c>
      <c r="AB10" s="21">
        <f t="shared" ref="AB10:AB12" si="4">SUM(B10:AA10)</f>
        <v>44141.27387</v>
      </c>
      <c r="AC10" s="31">
        <f t="shared" ref="AC10:AC12" si="5">B10+NPV($AB$3, C10:AA10)</f>
        <v>23848.65025</v>
      </c>
      <c r="AD10" s="22"/>
      <c r="AE10" s="22"/>
      <c r="AF10" s="22"/>
      <c r="AG10" s="22"/>
    </row>
    <row r="11">
      <c r="A11" s="23" t="s">
        <v>14</v>
      </c>
      <c r="B11" s="21">
        <v>0.0</v>
      </c>
      <c r="C11" s="21">
        <f t="shared" ref="C11:AA11" si="3">IF(B9=0, 0, C12-C10)</f>
        <v>565.6845548</v>
      </c>
      <c r="D11" s="21">
        <f t="shared" si="3"/>
        <v>606.6401166</v>
      </c>
      <c r="E11" s="21">
        <f t="shared" si="3"/>
        <v>650.560861</v>
      </c>
      <c r="F11" s="21">
        <f t="shared" si="3"/>
        <v>697.6614673</v>
      </c>
      <c r="G11" s="21">
        <f t="shared" si="3"/>
        <v>748.1721576</v>
      </c>
      <c r="H11" s="21">
        <f t="shared" si="3"/>
        <v>802.3398218</v>
      </c>
      <c r="I11" s="21">
        <f t="shared" si="3"/>
        <v>860.4292249</v>
      </c>
      <c r="J11" s="21">
        <f t="shared" si="3"/>
        <v>922.7243008</v>
      </c>
      <c r="K11" s="21">
        <f t="shared" si="3"/>
        <v>989.5295401</v>
      </c>
      <c r="L11" s="21">
        <f t="shared" si="3"/>
        <v>1061.171479</v>
      </c>
      <c r="M11" s="21">
        <f t="shared" si="3"/>
        <v>1138.000294</v>
      </c>
      <c r="N11" s="21">
        <f t="shared" si="3"/>
        <v>1220.391515</v>
      </c>
      <c r="O11" s="21">
        <f t="shared" si="3"/>
        <v>1308.747861</v>
      </c>
      <c r="P11" s="21">
        <f t="shared" si="3"/>
        <v>1403.501206</v>
      </c>
      <c r="Q11" s="21">
        <f t="shared" si="3"/>
        <v>1505.114693</v>
      </c>
      <c r="R11" s="21">
        <f t="shared" si="3"/>
        <v>1614.084997</v>
      </c>
      <c r="S11" s="21">
        <f t="shared" si="3"/>
        <v>1730.944751</v>
      </c>
      <c r="T11" s="21">
        <f t="shared" si="3"/>
        <v>1856.265151</v>
      </c>
      <c r="U11" s="21">
        <f t="shared" si="3"/>
        <v>1990.658748</v>
      </c>
      <c r="V11" s="21">
        <f t="shared" si="3"/>
        <v>2134.782441</v>
      </c>
      <c r="W11" s="21">
        <f t="shared" si="3"/>
        <v>2289.34069</v>
      </c>
      <c r="X11" s="21">
        <f t="shared" si="3"/>
        <v>2455.088956</v>
      </c>
      <c r="Y11" s="21">
        <f t="shared" si="3"/>
        <v>2632.837396</v>
      </c>
      <c r="Z11" s="21">
        <f t="shared" si="3"/>
        <v>2823.454824</v>
      </c>
      <c r="AA11" s="21">
        <f t="shared" si="3"/>
        <v>3027.872953</v>
      </c>
      <c r="AB11" s="21">
        <f t="shared" si="4"/>
        <v>37036</v>
      </c>
      <c r="AC11" s="31">
        <f t="shared" si="5"/>
        <v>13187.34975</v>
      </c>
      <c r="AD11" s="22"/>
      <c r="AE11" s="22"/>
      <c r="AF11" s="22"/>
      <c r="AG11" s="22"/>
    </row>
    <row r="12">
      <c r="A12" s="23" t="s">
        <v>15</v>
      </c>
      <c r="B12" s="21">
        <f>B10+B11</f>
        <v>0</v>
      </c>
      <c r="C12" s="21">
        <f t="shared" ref="C12:AA12" si="6">ABS(PMT($AB$3,25,$B$9,0))</f>
        <v>3247.090955</v>
      </c>
      <c r="D12" s="21">
        <f t="shared" si="6"/>
        <v>3247.090955</v>
      </c>
      <c r="E12" s="21">
        <f t="shared" si="6"/>
        <v>3247.090955</v>
      </c>
      <c r="F12" s="21">
        <f t="shared" si="6"/>
        <v>3247.090955</v>
      </c>
      <c r="G12" s="21">
        <f t="shared" si="6"/>
        <v>3247.090955</v>
      </c>
      <c r="H12" s="21">
        <f t="shared" si="6"/>
        <v>3247.090955</v>
      </c>
      <c r="I12" s="21">
        <f t="shared" si="6"/>
        <v>3247.090955</v>
      </c>
      <c r="J12" s="21">
        <f t="shared" si="6"/>
        <v>3247.090955</v>
      </c>
      <c r="K12" s="21">
        <f t="shared" si="6"/>
        <v>3247.090955</v>
      </c>
      <c r="L12" s="21">
        <f t="shared" si="6"/>
        <v>3247.090955</v>
      </c>
      <c r="M12" s="21">
        <f t="shared" si="6"/>
        <v>3247.090955</v>
      </c>
      <c r="N12" s="21">
        <f t="shared" si="6"/>
        <v>3247.090955</v>
      </c>
      <c r="O12" s="21">
        <f t="shared" si="6"/>
        <v>3247.090955</v>
      </c>
      <c r="P12" s="21">
        <f t="shared" si="6"/>
        <v>3247.090955</v>
      </c>
      <c r="Q12" s="21">
        <f t="shared" si="6"/>
        <v>3247.090955</v>
      </c>
      <c r="R12" s="21">
        <f t="shared" si="6"/>
        <v>3247.090955</v>
      </c>
      <c r="S12" s="21">
        <f t="shared" si="6"/>
        <v>3247.090955</v>
      </c>
      <c r="T12" s="21">
        <f t="shared" si="6"/>
        <v>3247.090955</v>
      </c>
      <c r="U12" s="21">
        <f t="shared" si="6"/>
        <v>3247.090955</v>
      </c>
      <c r="V12" s="21">
        <f t="shared" si="6"/>
        <v>3247.090955</v>
      </c>
      <c r="W12" s="21">
        <f t="shared" si="6"/>
        <v>3247.090955</v>
      </c>
      <c r="X12" s="21">
        <f t="shared" si="6"/>
        <v>3247.090955</v>
      </c>
      <c r="Y12" s="21">
        <f t="shared" si="6"/>
        <v>3247.090955</v>
      </c>
      <c r="Z12" s="21">
        <f t="shared" si="6"/>
        <v>3247.090955</v>
      </c>
      <c r="AA12" s="21">
        <f t="shared" si="6"/>
        <v>3247.090955</v>
      </c>
      <c r="AB12" s="126">
        <f t="shared" si="4"/>
        <v>81177.27387</v>
      </c>
      <c r="AC12" s="127">
        <f t="shared" si="5"/>
        <v>37036</v>
      </c>
      <c r="AD12" s="22"/>
      <c r="AE12" s="22"/>
      <c r="AF12" s="22"/>
      <c r="AG12" s="22"/>
    </row>
    <row r="13" hidden="1">
      <c r="A13" s="27" t="s">
        <v>16</v>
      </c>
      <c r="B13" s="21">
        <v>0.0</v>
      </c>
      <c r="C13" s="21">
        <v>1762.0</v>
      </c>
      <c r="D13" s="21">
        <v>1806.0</v>
      </c>
      <c r="E13" s="21">
        <v>1851.0</v>
      </c>
      <c r="F13" s="21">
        <v>1898.0</v>
      </c>
      <c r="G13" s="21">
        <v>1945.0</v>
      </c>
      <c r="H13" s="21">
        <v>1994.0</v>
      </c>
      <c r="I13" s="21">
        <v>2043.0</v>
      </c>
      <c r="J13" s="21">
        <v>2095.0</v>
      </c>
      <c r="K13" s="21">
        <v>2147.0</v>
      </c>
      <c r="L13" s="21">
        <v>2201.0</v>
      </c>
      <c r="M13" s="21">
        <v>2256.0</v>
      </c>
      <c r="N13" s="21">
        <v>2312.0</v>
      </c>
      <c r="O13" s="21">
        <v>2370.0</v>
      </c>
      <c r="P13" s="21">
        <v>2429.0</v>
      </c>
      <c r="Q13" s="21">
        <v>2490.0</v>
      </c>
      <c r="R13" s="21">
        <v>2552.0</v>
      </c>
      <c r="S13" s="21">
        <v>2616.0</v>
      </c>
      <c r="T13" s="21">
        <v>2681.0</v>
      </c>
      <c r="U13" s="21">
        <v>2748.0</v>
      </c>
      <c r="V13" s="21">
        <v>2817.0</v>
      </c>
      <c r="W13" s="21">
        <v>2887.0</v>
      </c>
      <c r="X13" s="21">
        <v>2960.0</v>
      </c>
      <c r="Y13" s="21">
        <v>3034.0</v>
      </c>
      <c r="Z13" s="21">
        <v>3109.0</v>
      </c>
      <c r="AA13" s="21">
        <v>3187.0</v>
      </c>
      <c r="AB13" s="21"/>
      <c r="AC13" s="31">
        <f t="shared" ref="AC13:AC14" si="7">NPV($AB$3, C13:AA13)</f>
        <v>25168.5933</v>
      </c>
      <c r="AD13" s="22"/>
      <c r="AE13" s="22"/>
      <c r="AF13" s="22"/>
      <c r="AG13" s="22"/>
    </row>
    <row r="14" hidden="1">
      <c r="A14" s="27" t="s">
        <v>17</v>
      </c>
      <c r="B14" s="21">
        <v>0.0</v>
      </c>
      <c r="C14" s="21">
        <v>997.0</v>
      </c>
      <c r="D14" s="21">
        <v>1024.0</v>
      </c>
      <c r="E14" s="21">
        <v>1051.0</v>
      </c>
      <c r="F14" s="21">
        <v>1080.0</v>
      </c>
      <c r="G14" s="21">
        <v>1109.0</v>
      </c>
      <c r="H14" s="21">
        <v>1139.0</v>
      </c>
      <c r="I14" s="21">
        <v>1170.0</v>
      </c>
      <c r="J14" s="21">
        <v>1202.0</v>
      </c>
      <c r="K14" s="21">
        <v>1235.0</v>
      </c>
      <c r="L14" s="21">
        <v>1268.0</v>
      </c>
      <c r="M14" s="21">
        <v>1303.0</v>
      </c>
      <c r="N14" s="21">
        <v>1338.0</v>
      </c>
      <c r="O14" s="21">
        <v>1375.0</v>
      </c>
      <c r="P14" s="21">
        <v>1412.0</v>
      </c>
      <c r="Q14" s="21">
        <v>1450.0</v>
      </c>
      <c r="R14" s="21">
        <v>1490.0</v>
      </c>
      <c r="S14" s="21">
        <v>1531.0</v>
      </c>
      <c r="T14" s="21">
        <v>1572.0</v>
      </c>
      <c r="U14" s="21">
        <v>1615.0</v>
      </c>
      <c r="V14" s="21">
        <v>1659.0</v>
      </c>
      <c r="W14" s="21">
        <v>1704.0</v>
      </c>
      <c r="X14" s="21">
        <v>1751.0</v>
      </c>
      <c r="Y14" s="21">
        <v>1799.0</v>
      </c>
      <c r="Z14" s="21">
        <v>1848.0</v>
      </c>
      <c r="AA14" s="21">
        <v>1898.0</v>
      </c>
      <c r="AB14" s="21"/>
      <c r="AC14" s="31">
        <f t="shared" si="7"/>
        <v>14531.30298</v>
      </c>
      <c r="AD14" s="22"/>
      <c r="AE14" s="22"/>
      <c r="AF14" s="22"/>
      <c r="AG14" s="22"/>
    </row>
    <row r="15">
      <c r="A15" s="27" t="s">
        <v>25</v>
      </c>
      <c r="B15" s="21">
        <v>0.0</v>
      </c>
      <c r="C15" s="21">
        <f>C13-C14+$AB$6</f>
        <v>1365</v>
      </c>
      <c r="D15" s="21">
        <f t="shared" ref="D15:AA15" si="8">D13-D14</f>
        <v>782</v>
      </c>
      <c r="E15" s="21">
        <f t="shared" si="8"/>
        <v>800</v>
      </c>
      <c r="F15" s="21">
        <f t="shared" si="8"/>
        <v>818</v>
      </c>
      <c r="G15" s="21">
        <f t="shared" si="8"/>
        <v>836</v>
      </c>
      <c r="H15" s="21">
        <f t="shared" si="8"/>
        <v>855</v>
      </c>
      <c r="I15" s="21">
        <f t="shared" si="8"/>
        <v>873</v>
      </c>
      <c r="J15" s="21">
        <f t="shared" si="8"/>
        <v>893</v>
      </c>
      <c r="K15" s="21">
        <f t="shared" si="8"/>
        <v>912</v>
      </c>
      <c r="L15" s="21">
        <f t="shared" si="8"/>
        <v>933</v>
      </c>
      <c r="M15" s="21">
        <f t="shared" si="8"/>
        <v>953</v>
      </c>
      <c r="N15" s="21">
        <f t="shared" si="8"/>
        <v>974</v>
      </c>
      <c r="O15" s="21">
        <f t="shared" si="8"/>
        <v>995</v>
      </c>
      <c r="P15" s="21">
        <f t="shared" si="8"/>
        <v>1017</v>
      </c>
      <c r="Q15" s="21">
        <f t="shared" si="8"/>
        <v>1040</v>
      </c>
      <c r="R15" s="21">
        <f t="shared" si="8"/>
        <v>1062</v>
      </c>
      <c r="S15" s="21">
        <f t="shared" si="8"/>
        <v>1085</v>
      </c>
      <c r="T15" s="21">
        <f t="shared" si="8"/>
        <v>1109</v>
      </c>
      <c r="U15" s="21">
        <f t="shared" si="8"/>
        <v>1133</v>
      </c>
      <c r="V15" s="21">
        <f t="shared" si="8"/>
        <v>1158</v>
      </c>
      <c r="W15" s="21">
        <f t="shared" si="8"/>
        <v>1183</v>
      </c>
      <c r="X15" s="21">
        <f t="shared" si="8"/>
        <v>1209</v>
      </c>
      <c r="Y15" s="21">
        <f t="shared" si="8"/>
        <v>1235</v>
      </c>
      <c r="Z15" s="21">
        <f t="shared" si="8"/>
        <v>1261</v>
      </c>
      <c r="AA15" s="21">
        <f t="shared" si="8"/>
        <v>1289</v>
      </c>
      <c r="AB15" s="21">
        <f t="shared" ref="AB15:AB17" si="9">SUM(B15:AA15)</f>
        <v>25770</v>
      </c>
      <c r="AC15" s="31">
        <f t="shared" ref="AC15:AC17" si="10">B15+NPV($AB$3, C15:AA15)</f>
        <v>11196.78305</v>
      </c>
      <c r="AD15" s="22"/>
      <c r="AE15" s="22"/>
      <c r="AF15" s="22"/>
      <c r="AG15" s="22"/>
    </row>
    <row r="16">
      <c r="A16" s="29" t="s">
        <v>19</v>
      </c>
      <c r="B16" s="21">
        <v>0.0</v>
      </c>
      <c r="C16" s="21">
        <v>0.0</v>
      </c>
      <c r="D16" s="21">
        <v>0.0</v>
      </c>
      <c r="E16" s="21">
        <v>0.0</v>
      </c>
      <c r="F16" s="21">
        <v>0.0</v>
      </c>
      <c r="G16" s="21">
        <v>0.0</v>
      </c>
      <c r="H16" s="21">
        <v>0.0</v>
      </c>
      <c r="I16" s="21">
        <v>0.0</v>
      </c>
      <c r="J16" s="21">
        <v>0.0</v>
      </c>
      <c r="K16" s="21">
        <v>0.0</v>
      </c>
      <c r="L16" s="21">
        <v>0.0</v>
      </c>
      <c r="M16" s="21">
        <v>0.0</v>
      </c>
      <c r="N16" s="21">
        <v>0.0</v>
      </c>
      <c r="O16" s="21">
        <v>0.0</v>
      </c>
      <c r="P16" s="21">
        <v>0.0</v>
      </c>
      <c r="Q16" s="21">
        <v>0.0</v>
      </c>
      <c r="R16" s="21">
        <v>0.0</v>
      </c>
      <c r="S16" s="21">
        <v>0.0</v>
      </c>
      <c r="T16" s="21">
        <v>0.0</v>
      </c>
      <c r="U16" s="21">
        <v>0.0</v>
      </c>
      <c r="V16" s="21">
        <v>0.0</v>
      </c>
      <c r="W16" s="21">
        <v>0.0</v>
      </c>
      <c r="X16" s="21">
        <v>0.0</v>
      </c>
      <c r="Y16" s="21">
        <v>0.0</v>
      </c>
      <c r="Z16" s="21">
        <v>0.0</v>
      </c>
      <c r="AA16" s="21">
        <v>0.0</v>
      </c>
      <c r="AB16" s="21">
        <f t="shared" si="9"/>
        <v>0</v>
      </c>
      <c r="AC16" s="31">
        <f t="shared" si="10"/>
        <v>0</v>
      </c>
      <c r="AD16" s="16"/>
      <c r="AE16" s="16"/>
      <c r="AF16" s="16"/>
      <c r="AG16" s="16"/>
    </row>
    <row r="17">
      <c r="A17" s="30" t="s">
        <v>20</v>
      </c>
      <c r="B17" s="31">
        <f t="shared" ref="B17:AA17" si="11">B15+B16</f>
        <v>0</v>
      </c>
      <c r="C17" s="31">
        <f t="shared" si="11"/>
        <v>1365</v>
      </c>
      <c r="D17" s="31">
        <f t="shared" si="11"/>
        <v>782</v>
      </c>
      <c r="E17" s="31">
        <f t="shared" si="11"/>
        <v>800</v>
      </c>
      <c r="F17" s="31">
        <f t="shared" si="11"/>
        <v>818</v>
      </c>
      <c r="G17" s="31">
        <f t="shared" si="11"/>
        <v>836</v>
      </c>
      <c r="H17" s="31">
        <f t="shared" si="11"/>
        <v>855</v>
      </c>
      <c r="I17" s="31">
        <f t="shared" si="11"/>
        <v>873</v>
      </c>
      <c r="J17" s="31">
        <f t="shared" si="11"/>
        <v>893</v>
      </c>
      <c r="K17" s="31">
        <f t="shared" si="11"/>
        <v>912</v>
      </c>
      <c r="L17" s="31">
        <f t="shared" si="11"/>
        <v>933</v>
      </c>
      <c r="M17" s="31">
        <f t="shared" si="11"/>
        <v>953</v>
      </c>
      <c r="N17" s="31">
        <f t="shared" si="11"/>
        <v>974</v>
      </c>
      <c r="O17" s="31">
        <f t="shared" si="11"/>
        <v>995</v>
      </c>
      <c r="P17" s="31">
        <f t="shared" si="11"/>
        <v>1017</v>
      </c>
      <c r="Q17" s="31">
        <f t="shared" si="11"/>
        <v>1040</v>
      </c>
      <c r="R17" s="31">
        <f t="shared" si="11"/>
        <v>1062</v>
      </c>
      <c r="S17" s="31">
        <f t="shared" si="11"/>
        <v>1085</v>
      </c>
      <c r="T17" s="31">
        <f t="shared" si="11"/>
        <v>1109</v>
      </c>
      <c r="U17" s="31">
        <f t="shared" si="11"/>
        <v>1133</v>
      </c>
      <c r="V17" s="31">
        <f t="shared" si="11"/>
        <v>1158</v>
      </c>
      <c r="W17" s="31">
        <f t="shared" si="11"/>
        <v>1183</v>
      </c>
      <c r="X17" s="31">
        <f t="shared" si="11"/>
        <v>1209</v>
      </c>
      <c r="Y17" s="31">
        <f t="shared" si="11"/>
        <v>1235</v>
      </c>
      <c r="Z17" s="31">
        <f t="shared" si="11"/>
        <v>1261</v>
      </c>
      <c r="AA17" s="31">
        <f t="shared" si="11"/>
        <v>1289</v>
      </c>
      <c r="AB17" s="126">
        <f t="shared" si="9"/>
        <v>25770</v>
      </c>
      <c r="AC17" s="127">
        <f t="shared" si="10"/>
        <v>11196.78305</v>
      </c>
      <c r="AD17" s="32"/>
      <c r="AE17" s="32"/>
      <c r="AF17" s="32"/>
      <c r="AG17" s="32"/>
    </row>
    <row r="18">
      <c r="A18" s="18" t="s">
        <v>21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28">
        <f t="shared" ref="AB18:AC18" si="12">AB17-AB12</f>
        <v>-55407.27387</v>
      </c>
      <c r="AC18" s="128">
        <f t="shared" si="12"/>
        <v>-25839.21695</v>
      </c>
      <c r="AD18" s="20"/>
      <c r="AE18" s="20"/>
      <c r="AF18" s="20"/>
      <c r="AG18" s="20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20"/>
      <c r="AE19" s="20"/>
      <c r="AF19" s="20"/>
      <c r="AG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>
      <c r="A21" s="39" t="s">
        <v>1</v>
      </c>
      <c r="B21" s="20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30">
        <v>37036.0</v>
      </c>
      <c r="AC21" s="40"/>
      <c r="AD21" s="20"/>
      <c r="AE21" s="20"/>
      <c r="AF21" s="20"/>
      <c r="AG21" s="20"/>
    </row>
    <row r="22">
      <c r="A22" s="39" t="s">
        <v>2</v>
      </c>
      <c r="B22" s="20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43">
        <v>0.0724</v>
      </c>
      <c r="AC22" s="40"/>
      <c r="AD22" s="20"/>
      <c r="AE22" s="20"/>
      <c r="AF22" s="20"/>
      <c r="AG22" s="20"/>
    </row>
    <row r="23">
      <c r="A23" s="44" t="s">
        <v>4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31">
        <f>AB21*0.3</f>
        <v>11110.8</v>
      </c>
      <c r="AC23" s="40"/>
      <c r="AD23" s="20"/>
      <c r="AE23" s="20"/>
      <c r="AF23" s="20"/>
      <c r="AG23" s="20"/>
    </row>
    <row r="24">
      <c r="A24" s="44" t="s">
        <v>5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32">
        <v>9000.0</v>
      </c>
      <c r="AC24" s="40"/>
      <c r="AD24" s="20"/>
      <c r="AE24" s="20"/>
      <c r="AF24" s="20"/>
      <c r="AG24" s="20"/>
    </row>
    <row r="25">
      <c r="A25" s="44" t="s">
        <v>6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32">
        <f>600</f>
        <v>600</v>
      </c>
      <c r="AC25" s="40"/>
      <c r="AD25" s="20"/>
      <c r="AE25" s="20"/>
      <c r="AF25" s="20"/>
      <c r="AG25" s="20"/>
    </row>
    <row r="26">
      <c r="A26" s="133" t="s">
        <v>28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5"/>
      <c r="AC26" s="135"/>
      <c r="AD26" s="4"/>
      <c r="AE26" s="4"/>
      <c r="AF26" s="4"/>
      <c r="AG26" s="4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8" t="s">
        <v>9</v>
      </c>
      <c r="AC27" s="49" t="s">
        <v>10</v>
      </c>
      <c r="AD27" s="20"/>
      <c r="AE27" s="20"/>
      <c r="AF27" s="20"/>
      <c r="AG27" s="20"/>
    </row>
    <row r="28" hidden="1">
      <c r="A28" s="49" t="s">
        <v>11</v>
      </c>
      <c r="B28" s="50">
        <v>0.0</v>
      </c>
      <c r="C28" s="50">
        <v>1.0</v>
      </c>
      <c r="D28" s="50">
        <v>2.0</v>
      </c>
      <c r="E28" s="50">
        <v>3.0</v>
      </c>
      <c r="F28" s="50">
        <v>4.0</v>
      </c>
      <c r="G28" s="50">
        <v>5.0</v>
      </c>
      <c r="H28" s="50">
        <v>6.0</v>
      </c>
      <c r="I28" s="50">
        <v>7.0</v>
      </c>
      <c r="J28" s="50">
        <v>8.0</v>
      </c>
      <c r="K28" s="50">
        <v>9.0</v>
      </c>
      <c r="L28" s="50">
        <v>10.0</v>
      </c>
      <c r="M28" s="50">
        <v>11.0</v>
      </c>
      <c r="N28" s="50">
        <v>12.0</v>
      </c>
      <c r="O28" s="50">
        <v>13.0</v>
      </c>
      <c r="P28" s="50">
        <v>14.0</v>
      </c>
      <c r="Q28" s="50">
        <v>15.0</v>
      </c>
      <c r="R28" s="50">
        <v>16.0</v>
      </c>
      <c r="S28" s="50">
        <v>17.0</v>
      </c>
      <c r="T28" s="50">
        <v>18.0</v>
      </c>
      <c r="U28" s="50">
        <v>19.0</v>
      </c>
      <c r="V28" s="50">
        <v>20.0</v>
      </c>
      <c r="W28" s="50">
        <v>21.0</v>
      </c>
      <c r="X28" s="50">
        <v>22.0</v>
      </c>
      <c r="Y28" s="50">
        <v>23.0</v>
      </c>
      <c r="Z28" s="50">
        <v>24.0</v>
      </c>
      <c r="AA28" s="50">
        <v>25.0</v>
      </c>
      <c r="AB28" s="50"/>
      <c r="AC28" s="47"/>
      <c r="AD28" s="22"/>
      <c r="AE28" s="22"/>
      <c r="AF28" s="22"/>
      <c r="AG28" s="22"/>
    </row>
    <row r="29" hidden="1">
      <c r="A29" s="51" t="s">
        <v>12</v>
      </c>
      <c r="B29" s="50">
        <f>AB21-B37</f>
        <v>16925.2</v>
      </c>
      <c r="C29" s="50">
        <f t="shared" ref="C29:AA29" si="13">B29-C31</f>
        <v>16666.68601</v>
      </c>
      <c r="D29" s="50">
        <f t="shared" si="13"/>
        <v>16389.4556</v>
      </c>
      <c r="E29" s="50">
        <f t="shared" si="13"/>
        <v>16092.15371</v>
      </c>
      <c r="F29" s="50">
        <f t="shared" si="13"/>
        <v>15773.32717</v>
      </c>
      <c r="G29" s="50">
        <f t="shared" si="13"/>
        <v>15431.41759</v>
      </c>
      <c r="H29" s="50">
        <f t="shared" si="13"/>
        <v>15064.75375</v>
      </c>
      <c r="I29" s="50">
        <f t="shared" si="13"/>
        <v>14671.54345</v>
      </c>
      <c r="J29" s="50">
        <f t="shared" si="13"/>
        <v>14249.86472</v>
      </c>
      <c r="K29" s="50">
        <f t="shared" si="13"/>
        <v>13797.65645</v>
      </c>
      <c r="L29" s="50">
        <f t="shared" si="13"/>
        <v>13312.70831</v>
      </c>
      <c r="M29" s="50">
        <f t="shared" si="13"/>
        <v>12792.64992</v>
      </c>
      <c r="N29" s="50">
        <f t="shared" si="13"/>
        <v>12234.9393</v>
      </c>
      <c r="O29" s="50">
        <f t="shared" si="13"/>
        <v>11636.85043</v>
      </c>
      <c r="P29" s="50">
        <f t="shared" si="13"/>
        <v>10995.45993</v>
      </c>
      <c r="Q29" s="50">
        <f t="shared" si="13"/>
        <v>10307.63275</v>
      </c>
      <c r="R29" s="50">
        <f t="shared" si="13"/>
        <v>9570.006893</v>
      </c>
      <c r="S29" s="50">
        <f t="shared" si="13"/>
        <v>8778.976919</v>
      </c>
      <c r="T29" s="50">
        <f t="shared" si="13"/>
        <v>7930.676375</v>
      </c>
      <c r="U29" s="50">
        <f t="shared" si="13"/>
        <v>7020.958872</v>
      </c>
      <c r="V29" s="50">
        <f t="shared" si="13"/>
        <v>6045.377822</v>
      </c>
      <c r="W29" s="50">
        <f t="shared" si="13"/>
        <v>4999.164704</v>
      </c>
      <c r="X29" s="50">
        <f t="shared" si="13"/>
        <v>3877.205756</v>
      </c>
      <c r="Y29" s="50">
        <f t="shared" si="13"/>
        <v>2674.01698</v>
      </c>
      <c r="Z29" s="50">
        <f t="shared" si="13"/>
        <v>1383.717337</v>
      </c>
      <c r="AA29" s="50">
        <f t="shared" si="13"/>
        <v>0</v>
      </c>
      <c r="AB29" s="50"/>
      <c r="AC29" s="47"/>
      <c r="AD29" s="22"/>
      <c r="AE29" s="22"/>
      <c r="AF29" s="22"/>
      <c r="AG29" s="22"/>
    </row>
    <row r="30">
      <c r="A30" s="52" t="s">
        <v>13</v>
      </c>
      <c r="B30" s="50">
        <v>0.0</v>
      </c>
      <c r="C30" s="50">
        <f t="shared" ref="C30:AA30" si="14">B29*$AB$22</f>
        <v>1225.38448</v>
      </c>
      <c r="D30" s="50">
        <f t="shared" si="14"/>
        <v>1206.668067</v>
      </c>
      <c r="E30" s="50">
        <f t="shared" si="14"/>
        <v>1186.596586</v>
      </c>
      <c r="F30" s="50">
        <f t="shared" si="14"/>
        <v>1165.071929</v>
      </c>
      <c r="G30" s="50">
        <f t="shared" si="14"/>
        <v>1141.988887</v>
      </c>
      <c r="H30" s="50">
        <f t="shared" si="14"/>
        <v>1117.234633</v>
      </c>
      <c r="I30" s="50">
        <f t="shared" si="14"/>
        <v>1090.688171</v>
      </c>
      <c r="J30" s="50">
        <f t="shared" si="14"/>
        <v>1062.219745</v>
      </c>
      <c r="K30" s="50">
        <f t="shared" si="14"/>
        <v>1031.690206</v>
      </c>
      <c r="L30" s="50">
        <f t="shared" si="14"/>
        <v>998.9503271</v>
      </c>
      <c r="M30" s="50">
        <f t="shared" si="14"/>
        <v>963.8400814</v>
      </c>
      <c r="N30" s="50">
        <f t="shared" si="14"/>
        <v>926.1878538</v>
      </c>
      <c r="O30" s="50">
        <f t="shared" si="14"/>
        <v>885.8096051</v>
      </c>
      <c r="P30" s="50">
        <f t="shared" si="14"/>
        <v>842.5079711</v>
      </c>
      <c r="Q30" s="50">
        <f t="shared" si="14"/>
        <v>796.0712987</v>
      </c>
      <c r="R30" s="50">
        <f t="shared" si="14"/>
        <v>746.2726114</v>
      </c>
      <c r="S30" s="50">
        <f t="shared" si="14"/>
        <v>692.868499</v>
      </c>
      <c r="T30" s="50">
        <f t="shared" si="14"/>
        <v>635.5979289</v>
      </c>
      <c r="U30" s="50">
        <f t="shared" si="14"/>
        <v>574.1809696</v>
      </c>
      <c r="V30" s="50">
        <f t="shared" si="14"/>
        <v>508.3174224</v>
      </c>
      <c r="W30" s="50">
        <f t="shared" si="14"/>
        <v>437.6853543</v>
      </c>
      <c r="X30" s="50">
        <f t="shared" si="14"/>
        <v>361.9395246</v>
      </c>
      <c r="Y30" s="50">
        <f t="shared" si="14"/>
        <v>280.7096967</v>
      </c>
      <c r="Z30" s="50">
        <f t="shared" si="14"/>
        <v>193.5988294</v>
      </c>
      <c r="AA30" s="50">
        <f t="shared" si="14"/>
        <v>100.1811352</v>
      </c>
      <c r="AB30" s="50">
        <f t="shared" ref="AB30:AB32" si="16">SUM(B30:AA30)</f>
        <v>20172.26181</v>
      </c>
      <c r="AC30" s="60">
        <f t="shared" ref="AC30:AC32" si="17">B30+NPV($AB$3, C30:AA30)</f>
        <v>10898.67089</v>
      </c>
      <c r="AD30" s="22"/>
      <c r="AE30" s="22"/>
      <c r="AF30" s="22"/>
      <c r="AG30" s="22"/>
    </row>
    <row r="31">
      <c r="A31" s="52" t="s">
        <v>14</v>
      </c>
      <c r="B31" s="50">
        <v>0.0</v>
      </c>
      <c r="C31" s="50">
        <f t="shared" ref="C31:AA31" si="15">IF(B29=0, 0, C32-C30)</f>
        <v>258.5139925</v>
      </c>
      <c r="D31" s="50">
        <f t="shared" si="15"/>
        <v>277.2304056</v>
      </c>
      <c r="E31" s="50">
        <f t="shared" si="15"/>
        <v>297.3018869</v>
      </c>
      <c r="F31" s="50">
        <f t="shared" si="15"/>
        <v>318.8265436</v>
      </c>
      <c r="G31" s="50">
        <f t="shared" si="15"/>
        <v>341.9095853</v>
      </c>
      <c r="H31" s="50">
        <f t="shared" si="15"/>
        <v>366.6638393</v>
      </c>
      <c r="I31" s="50">
        <f t="shared" si="15"/>
        <v>393.2103012</v>
      </c>
      <c r="J31" s="50">
        <f t="shared" si="15"/>
        <v>421.6787271</v>
      </c>
      <c r="K31" s="50">
        <f t="shared" si="15"/>
        <v>452.2082669</v>
      </c>
      <c r="L31" s="50">
        <f t="shared" si="15"/>
        <v>484.9481454</v>
      </c>
      <c r="M31" s="50">
        <f t="shared" si="15"/>
        <v>520.0583912</v>
      </c>
      <c r="N31" s="50">
        <f t="shared" si="15"/>
        <v>557.7106187</v>
      </c>
      <c r="O31" s="50">
        <f t="shared" si="15"/>
        <v>598.0888675</v>
      </c>
      <c r="P31" s="50">
        <f t="shared" si="15"/>
        <v>641.3905015</v>
      </c>
      <c r="Q31" s="50">
        <f t="shared" si="15"/>
        <v>687.8271738</v>
      </c>
      <c r="R31" s="50">
        <f t="shared" si="15"/>
        <v>737.6258612</v>
      </c>
      <c r="S31" s="50">
        <f t="shared" si="15"/>
        <v>791.0299735</v>
      </c>
      <c r="T31" s="50">
        <f t="shared" si="15"/>
        <v>848.3005436</v>
      </c>
      <c r="U31" s="50">
        <f t="shared" si="15"/>
        <v>909.7175029</v>
      </c>
      <c r="V31" s="50">
        <f t="shared" si="15"/>
        <v>975.5810502</v>
      </c>
      <c r="W31" s="50">
        <f t="shared" si="15"/>
        <v>1046.213118</v>
      </c>
      <c r="X31" s="50">
        <f t="shared" si="15"/>
        <v>1121.958948</v>
      </c>
      <c r="Y31" s="50">
        <f t="shared" si="15"/>
        <v>1203.188776</v>
      </c>
      <c r="Z31" s="50">
        <f t="shared" si="15"/>
        <v>1290.299643</v>
      </c>
      <c r="AA31" s="50">
        <f t="shared" si="15"/>
        <v>1383.717337</v>
      </c>
      <c r="AB31" s="50">
        <f t="shared" si="16"/>
        <v>16925.2</v>
      </c>
      <c r="AC31" s="60">
        <f t="shared" si="17"/>
        <v>6026.529106</v>
      </c>
      <c r="AD31" s="22"/>
      <c r="AE31" s="22"/>
      <c r="AF31" s="22"/>
      <c r="AG31" s="22"/>
    </row>
    <row r="32">
      <c r="A32" s="51" t="s">
        <v>15</v>
      </c>
      <c r="B32" s="50">
        <f>B30+B31</f>
        <v>0</v>
      </c>
      <c r="C32" s="50">
        <f t="shared" ref="C32:AA32" si="18">ABS(PMT($AB$22,25,$B$29,0))</f>
        <v>1483.898473</v>
      </c>
      <c r="D32" s="50">
        <f t="shared" si="18"/>
        <v>1483.898473</v>
      </c>
      <c r="E32" s="50">
        <f t="shared" si="18"/>
        <v>1483.898473</v>
      </c>
      <c r="F32" s="50">
        <f t="shared" si="18"/>
        <v>1483.898473</v>
      </c>
      <c r="G32" s="50">
        <f t="shared" si="18"/>
        <v>1483.898473</v>
      </c>
      <c r="H32" s="50">
        <f t="shared" si="18"/>
        <v>1483.898473</v>
      </c>
      <c r="I32" s="50">
        <f t="shared" si="18"/>
        <v>1483.898473</v>
      </c>
      <c r="J32" s="50">
        <f t="shared" si="18"/>
        <v>1483.898473</v>
      </c>
      <c r="K32" s="50">
        <f t="shared" si="18"/>
        <v>1483.898473</v>
      </c>
      <c r="L32" s="50">
        <f t="shared" si="18"/>
        <v>1483.898473</v>
      </c>
      <c r="M32" s="50">
        <f t="shared" si="18"/>
        <v>1483.898473</v>
      </c>
      <c r="N32" s="50">
        <f t="shared" si="18"/>
        <v>1483.898473</v>
      </c>
      <c r="O32" s="50">
        <f t="shared" si="18"/>
        <v>1483.898473</v>
      </c>
      <c r="P32" s="50">
        <f t="shared" si="18"/>
        <v>1483.898473</v>
      </c>
      <c r="Q32" s="50">
        <f t="shared" si="18"/>
        <v>1483.898473</v>
      </c>
      <c r="R32" s="50">
        <f t="shared" si="18"/>
        <v>1483.898473</v>
      </c>
      <c r="S32" s="50">
        <f t="shared" si="18"/>
        <v>1483.898473</v>
      </c>
      <c r="T32" s="50">
        <f t="shared" si="18"/>
        <v>1483.898473</v>
      </c>
      <c r="U32" s="50">
        <f t="shared" si="18"/>
        <v>1483.898473</v>
      </c>
      <c r="V32" s="50">
        <f t="shared" si="18"/>
        <v>1483.898473</v>
      </c>
      <c r="W32" s="50">
        <f t="shared" si="18"/>
        <v>1483.898473</v>
      </c>
      <c r="X32" s="50">
        <f t="shared" si="18"/>
        <v>1483.898473</v>
      </c>
      <c r="Y32" s="50">
        <f t="shared" si="18"/>
        <v>1483.898473</v>
      </c>
      <c r="Z32" s="50">
        <f t="shared" si="18"/>
        <v>1483.898473</v>
      </c>
      <c r="AA32" s="50">
        <f t="shared" si="18"/>
        <v>1483.898473</v>
      </c>
      <c r="AB32" s="136">
        <f t="shared" si="16"/>
        <v>37097.46181</v>
      </c>
      <c r="AC32" s="137">
        <f t="shared" si="17"/>
        <v>16925.2</v>
      </c>
      <c r="AD32" s="22"/>
      <c r="AE32" s="22"/>
      <c r="AF32" s="22"/>
      <c r="AG32" s="22"/>
    </row>
    <row r="33" hidden="1">
      <c r="A33" s="56" t="s">
        <v>16</v>
      </c>
      <c r="B33" s="50">
        <v>0.0</v>
      </c>
      <c r="C33" s="50">
        <v>1762.0</v>
      </c>
      <c r="D33" s="50">
        <v>1806.0</v>
      </c>
      <c r="E33" s="50">
        <v>1851.0</v>
      </c>
      <c r="F33" s="50">
        <v>1898.0</v>
      </c>
      <c r="G33" s="50">
        <v>1945.0</v>
      </c>
      <c r="H33" s="50">
        <v>1994.0</v>
      </c>
      <c r="I33" s="50">
        <v>2043.0</v>
      </c>
      <c r="J33" s="50">
        <v>2095.0</v>
      </c>
      <c r="K33" s="50">
        <v>2147.0</v>
      </c>
      <c r="L33" s="50">
        <v>2201.0</v>
      </c>
      <c r="M33" s="50">
        <v>2256.0</v>
      </c>
      <c r="N33" s="50">
        <v>2312.0</v>
      </c>
      <c r="O33" s="50">
        <v>2370.0</v>
      </c>
      <c r="P33" s="50">
        <v>2429.0</v>
      </c>
      <c r="Q33" s="50">
        <v>2490.0</v>
      </c>
      <c r="R33" s="50">
        <v>2552.0</v>
      </c>
      <c r="S33" s="50">
        <v>2616.0</v>
      </c>
      <c r="T33" s="50">
        <v>2681.0</v>
      </c>
      <c r="U33" s="50">
        <v>2748.0</v>
      </c>
      <c r="V33" s="50">
        <v>2817.0</v>
      </c>
      <c r="W33" s="50">
        <v>2887.0</v>
      </c>
      <c r="X33" s="50">
        <v>2960.0</v>
      </c>
      <c r="Y33" s="50">
        <v>3034.0</v>
      </c>
      <c r="Z33" s="50">
        <v>3109.0</v>
      </c>
      <c r="AA33" s="50">
        <v>3187.0</v>
      </c>
      <c r="AB33" s="50"/>
      <c r="AC33" s="60">
        <f t="shared" ref="AC33:AC34" si="19">NPV($AB$3, C33:AA33)</f>
        <v>25168.5933</v>
      </c>
      <c r="AD33" s="22"/>
      <c r="AE33" s="22"/>
      <c r="AF33" s="22"/>
      <c r="AG33" s="22"/>
    </row>
    <row r="34" hidden="1">
      <c r="A34" s="56" t="s">
        <v>17</v>
      </c>
      <c r="B34" s="50">
        <v>0.0</v>
      </c>
      <c r="C34" s="50">
        <v>997.0</v>
      </c>
      <c r="D34" s="50">
        <v>1024.0</v>
      </c>
      <c r="E34" s="50">
        <v>1051.0</v>
      </c>
      <c r="F34" s="50">
        <v>1080.0</v>
      </c>
      <c r="G34" s="50">
        <v>1109.0</v>
      </c>
      <c r="H34" s="50">
        <v>1139.0</v>
      </c>
      <c r="I34" s="50">
        <v>1170.0</v>
      </c>
      <c r="J34" s="50">
        <v>1202.0</v>
      </c>
      <c r="K34" s="50">
        <v>1235.0</v>
      </c>
      <c r="L34" s="50">
        <v>1268.0</v>
      </c>
      <c r="M34" s="50">
        <v>1303.0</v>
      </c>
      <c r="N34" s="50">
        <v>1338.0</v>
      </c>
      <c r="O34" s="50">
        <v>1375.0</v>
      </c>
      <c r="P34" s="50">
        <v>1412.0</v>
      </c>
      <c r="Q34" s="50">
        <v>1450.0</v>
      </c>
      <c r="R34" s="50">
        <v>1490.0</v>
      </c>
      <c r="S34" s="50">
        <v>1531.0</v>
      </c>
      <c r="T34" s="50">
        <v>1572.0</v>
      </c>
      <c r="U34" s="50">
        <v>1615.0</v>
      </c>
      <c r="V34" s="50">
        <v>1659.0</v>
      </c>
      <c r="W34" s="50">
        <v>1704.0</v>
      </c>
      <c r="X34" s="50">
        <v>1751.0</v>
      </c>
      <c r="Y34" s="50">
        <v>1799.0</v>
      </c>
      <c r="Z34" s="50">
        <v>1848.0</v>
      </c>
      <c r="AA34" s="50">
        <v>1898.0</v>
      </c>
      <c r="AB34" s="50"/>
      <c r="AC34" s="60">
        <f t="shared" si="19"/>
        <v>14531.30298</v>
      </c>
      <c r="AD34" s="22"/>
      <c r="AE34" s="22"/>
      <c r="AF34" s="22"/>
      <c r="AG34" s="22"/>
    </row>
    <row r="35">
      <c r="A35" s="57" t="s">
        <v>25</v>
      </c>
      <c r="B35" s="50">
        <v>0.0</v>
      </c>
      <c r="C35" s="50">
        <f t="shared" ref="C35:AA35" si="20">C33-C34</f>
        <v>765</v>
      </c>
      <c r="D35" s="50">
        <f t="shared" si="20"/>
        <v>782</v>
      </c>
      <c r="E35" s="50">
        <f t="shared" si="20"/>
        <v>800</v>
      </c>
      <c r="F35" s="50">
        <f t="shared" si="20"/>
        <v>818</v>
      </c>
      <c r="G35" s="50">
        <f t="shared" si="20"/>
        <v>836</v>
      </c>
      <c r="H35" s="50">
        <f t="shared" si="20"/>
        <v>855</v>
      </c>
      <c r="I35" s="50">
        <f t="shared" si="20"/>
        <v>873</v>
      </c>
      <c r="J35" s="50">
        <f t="shared" si="20"/>
        <v>893</v>
      </c>
      <c r="K35" s="50">
        <f t="shared" si="20"/>
        <v>912</v>
      </c>
      <c r="L35" s="50">
        <f t="shared" si="20"/>
        <v>933</v>
      </c>
      <c r="M35" s="50">
        <f t="shared" si="20"/>
        <v>953</v>
      </c>
      <c r="N35" s="50">
        <f t="shared" si="20"/>
        <v>974</v>
      </c>
      <c r="O35" s="50">
        <f t="shared" si="20"/>
        <v>995</v>
      </c>
      <c r="P35" s="50">
        <f t="shared" si="20"/>
        <v>1017</v>
      </c>
      <c r="Q35" s="50">
        <f t="shared" si="20"/>
        <v>1040</v>
      </c>
      <c r="R35" s="50">
        <f t="shared" si="20"/>
        <v>1062</v>
      </c>
      <c r="S35" s="50">
        <f t="shared" si="20"/>
        <v>1085</v>
      </c>
      <c r="T35" s="50">
        <f t="shared" si="20"/>
        <v>1109</v>
      </c>
      <c r="U35" s="50">
        <f t="shared" si="20"/>
        <v>1133</v>
      </c>
      <c r="V35" s="50">
        <f t="shared" si="20"/>
        <v>1158</v>
      </c>
      <c r="W35" s="50">
        <f t="shared" si="20"/>
        <v>1183</v>
      </c>
      <c r="X35" s="50">
        <f t="shared" si="20"/>
        <v>1209</v>
      </c>
      <c r="Y35" s="50">
        <f t="shared" si="20"/>
        <v>1235</v>
      </c>
      <c r="Z35" s="50">
        <f t="shared" si="20"/>
        <v>1261</v>
      </c>
      <c r="AA35" s="50">
        <f t="shared" si="20"/>
        <v>1289</v>
      </c>
      <c r="AB35" s="50">
        <f t="shared" ref="AB35:AB37" si="22">SUM(B35:AA35)</f>
        <v>25170</v>
      </c>
      <c r="AC35" s="60">
        <f t="shared" ref="AC35:AC37" si="23">B35+NPV($AB$3, C35:AA35)</f>
        <v>10637.29032</v>
      </c>
      <c r="AD35" s="22"/>
      <c r="AE35" s="22"/>
      <c r="AF35" s="22"/>
      <c r="AG35" s="22"/>
    </row>
    <row r="36">
      <c r="A36" s="58" t="s">
        <v>19</v>
      </c>
      <c r="B36" s="50">
        <f>AB23+AB24</f>
        <v>20110.8</v>
      </c>
      <c r="C36" s="50">
        <f t="shared" ref="C36:AA36" si="21">$AB$6</f>
        <v>600</v>
      </c>
      <c r="D36" s="50">
        <f t="shared" si="21"/>
        <v>600</v>
      </c>
      <c r="E36" s="50">
        <f t="shared" si="21"/>
        <v>600</v>
      </c>
      <c r="F36" s="50">
        <f t="shared" si="21"/>
        <v>600</v>
      </c>
      <c r="G36" s="50">
        <f t="shared" si="21"/>
        <v>600</v>
      </c>
      <c r="H36" s="50">
        <f t="shared" si="21"/>
        <v>600</v>
      </c>
      <c r="I36" s="50">
        <f t="shared" si="21"/>
        <v>600</v>
      </c>
      <c r="J36" s="50">
        <f t="shared" si="21"/>
        <v>600</v>
      </c>
      <c r="K36" s="50">
        <f t="shared" si="21"/>
        <v>600</v>
      </c>
      <c r="L36" s="50">
        <f t="shared" si="21"/>
        <v>600</v>
      </c>
      <c r="M36" s="50">
        <f t="shared" si="21"/>
        <v>600</v>
      </c>
      <c r="N36" s="50">
        <f t="shared" si="21"/>
        <v>600</v>
      </c>
      <c r="O36" s="50">
        <f t="shared" si="21"/>
        <v>600</v>
      </c>
      <c r="P36" s="50">
        <f t="shared" si="21"/>
        <v>600</v>
      </c>
      <c r="Q36" s="50">
        <f t="shared" si="21"/>
        <v>600</v>
      </c>
      <c r="R36" s="50">
        <f t="shared" si="21"/>
        <v>600</v>
      </c>
      <c r="S36" s="50">
        <f t="shared" si="21"/>
        <v>600</v>
      </c>
      <c r="T36" s="50">
        <f t="shared" si="21"/>
        <v>600</v>
      </c>
      <c r="U36" s="50">
        <f t="shared" si="21"/>
        <v>600</v>
      </c>
      <c r="V36" s="50">
        <f t="shared" si="21"/>
        <v>600</v>
      </c>
      <c r="W36" s="50">
        <f t="shared" si="21"/>
        <v>600</v>
      </c>
      <c r="X36" s="50">
        <f t="shared" si="21"/>
        <v>600</v>
      </c>
      <c r="Y36" s="50">
        <f t="shared" si="21"/>
        <v>600</v>
      </c>
      <c r="Z36" s="50">
        <f t="shared" si="21"/>
        <v>600</v>
      </c>
      <c r="AA36" s="50">
        <f t="shared" si="21"/>
        <v>600</v>
      </c>
      <c r="AB36" s="50">
        <f t="shared" si="22"/>
        <v>35110.8</v>
      </c>
      <c r="AC36" s="60">
        <f t="shared" si="23"/>
        <v>26954.34098</v>
      </c>
      <c r="AD36" s="16"/>
      <c r="AE36" s="16"/>
      <c r="AF36" s="16"/>
      <c r="AG36" s="16"/>
    </row>
    <row r="37">
      <c r="A37" s="59" t="s">
        <v>23</v>
      </c>
      <c r="B37" s="60">
        <f t="shared" ref="B37:AA37" si="24">B35+B36</f>
        <v>20110.8</v>
      </c>
      <c r="C37" s="60">
        <f t="shared" si="24"/>
        <v>1365</v>
      </c>
      <c r="D37" s="60">
        <f t="shared" si="24"/>
        <v>1382</v>
      </c>
      <c r="E37" s="60">
        <f t="shared" si="24"/>
        <v>1400</v>
      </c>
      <c r="F37" s="60">
        <f t="shared" si="24"/>
        <v>1418</v>
      </c>
      <c r="G37" s="60">
        <f t="shared" si="24"/>
        <v>1436</v>
      </c>
      <c r="H37" s="60">
        <f t="shared" si="24"/>
        <v>1455</v>
      </c>
      <c r="I37" s="60">
        <f t="shared" si="24"/>
        <v>1473</v>
      </c>
      <c r="J37" s="60">
        <f t="shared" si="24"/>
        <v>1493</v>
      </c>
      <c r="K37" s="60">
        <f t="shared" si="24"/>
        <v>1512</v>
      </c>
      <c r="L37" s="60">
        <f t="shared" si="24"/>
        <v>1533</v>
      </c>
      <c r="M37" s="60">
        <f t="shared" si="24"/>
        <v>1553</v>
      </c>
      <c r="N37" s="60">
        <f t="shared" si="24"/>
        <v>1574</v>
      </c>
      <c r="O37" s="60">
        <f t="shared" si="24"/>
        <v>1595</v>
      </c>
      <c r="P37" s="60">
        <f t="shared" si="24"/>
        <v>1617</v>
      </c>
      <c r="Q37" s="60">
        <f t="shared" si="24"/>
        <v>1640</v>
      </c>
      <c r="R37" s="60">
        <f t="shared" si="24"/>
        <v>1662</v>
      </c>
      <c r="S37" s="60">
        <f t="shared" si="24"/>
        <v>1685</v>
      </c>
      <c r="T37" s="60">
        <f t="shared" si="24"/>
        <v>1709</v>
      </c>
      <c r="U37" s="60">
        <f t="shared" si="24"/>
        <v>1733</v>
      </c>
      <c r="V37" s="60">
        <f t="shared" si="24"/>
        <v>1758</v>
      </c>
      <c r="W37" s="60">
        <f t="shared" si="24"/>
        <v>1783</v>
      </c>
      <c r="X37" s="60">
        <f t="shared" si="24"/>
        <v>1809</v>
      </c>
      <c r="Y37" s="60">
        <f t="shared" si="24"/>
        <v>1835</v>
      </c>
      <c r="Z37" s="60">
        <f t="shared" si="24"/>
        <v>1861</v>
      </c>
      <c r="AA37" s="60">
        <f t="shared" si="24"/>
        <v>1889</v>
      </c>
      <c r="AB37" s="136">
        <f t="shared" si="22"/>
        <v>60280.8</v>
      </c>
      <c r="AC37" s="137">
        <f t="shared" si="23"/>
        <v>37591.63129</v>
      </c>
      <c r="AD37" s="32"/>
      <c r="AE37" s="32"/>
      <c r="AF37" s="32"/>
      <c r="AG37" s="32"/>
    </row>
    <row r="38">
      <c r="A38" s="48" t="s">
        <v>21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138">
        <f t="shared" ref="AB38:AC38" si="25">AB37-AB32</f>
        <v>23183.33819</v>
      </c>
      <c r="AC38" s="138">
        <f t="shared" si="25"/>
        <v>20666.43129</v>
      </c>
      <c r="AD38" s="20"/>
      <c r="AE38" s="20"/>
      <c r="AF38" s="20"/>
      <c r="AG38" s="20"/>
    </row>
    <row r="39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7"/>
      <c r="AC39" s="67"/>
      <c r="AD39" s="20"/>
      <c r="AE39" s="20"/>
      <c r="AF39" s="20"/>
      <c r="AG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139"/>
      <c r="AG40" s="140"/>
    </row>
    <row r="41">
      <c r="A41" s="71" t="s">
        <v>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74">
        <f>21550 +13107 +671</f>
        <v>35328</v>
      </c>
      <c r="AC41" s="73"/>
      <c r="AD41" s="20"/>
      <c r="AE41" s="20"/>
      <c r="AF41" s="139"/>
      <c r="AG41" s="141"/>
    </row>
    <row r="42">
      <c r="A42" s="71" t="s">
        <v>2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75">
        <v>0.0724</v>
      </c>
      <c r="AC42" s="73"/>
      <c r="AD42" s="20"/>
      <c r="AE42" s="20"/>
      <c r="AF42" s="142"/>
      <c r="AG42" s="143"/>
    </row>
    <row r="43">
      <c r="A43" s="144" t="s">
        <v>4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45">
        <f>AB41*0.3</f>
        <v>10598.4</v>
      </c>
      <c r="AC43" s="73"/>
      <c r="AD43" s="20"/>
      <c r="AE43" s="20"/>
      <c r="AF43" s="142"/>
      <c r="AG43" s="146"/>
    </row>
    <row r="44">
      <c r="A44" s="144" t="s">
        <v>5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47">
        <v>9000.0</v>
      </c>
      <c r="AC44" s="73"/>
      <c r="AD44" s="20"/>
      <c r="AE44" s="20"/>
      <c r="AF44" s="142"/>
      <c r="AG44" s="146"/>
    </row>
    <row r="45">
      <c r="A45" s="144" t="s">
        <v>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47">
        <v>600.0</v>
      </c>
      <c r="AC45" s="73"/>
      <c r="AD45" s="20"/>
      <c r="AE45" s="20"/>
      <c r="AF45" s="20"/>
      <c r="AG45" s="20"/>
    </row>
    <row r="46">
      <c r="A46" s="148" t="s">
        <v>24</v>
      </c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50"/>
      <c r="AC46" s="150"/>
      <c r="AD46" s="20"/>
      <c r="AE46" s="20"/>
      <c r="AF46" s="20"/>
      <c r="AG46" s="20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80" t="s">
        <v>9</v>
      </c>
      <c r="AC47" s="81" t="s">
        <v>10</v>
      </c>
      <c r="AD47" s="20"/>
      <c r="AE47" s="20"/>
      <c r="AF47" s="20"/>
      <c r="AG47" s="20"/>
    </row>
    <row r="48" hidden="1">
      <c r="A48" s="81" t="s">
        <v>11</v>
      </c>
      <c r="B48" s="82">
        <v>0.0</v>
      </c>
      <c r="C48" s="82">
        <v>1.0</v>
      </c>
      <c r="D48" s="82">
        <v>2.0</v>
      </c>
      <c r="E48" s="82">
        <v>3.0</v>
      </c>
      <c r="F48" s="82">
        <v>4.0</v>
      </c>
      <c r="G48" s="82">
        <v>5.0</v>
      </c>
      <c r="H48" s="82">
        <v>6.0</v>
      </c>
      <c r="I48" s="82">
        <v>7.0</v>
      </c>
      <c r="J48" s="82">
        <v>8.0</v>
      </c>
      <c r="K48" s="82">
        <v>9.0</v>
      </c>
      <c r="L48" s="82">
        <v>10.0</v>
      </c>
      <c r="M48" s="82">
        <v>11.0</v>
      </c>
      <c r="N48" s="82">
        <v>12.0</v>
      </c>
      <c r="O48" s="82">
        <v>13.0</v>
      </c>
      <c r="P48" s="82">
        <v>14.0</v>
      </c>
      <c r="Q48" s="82">
        <v>15.0</v>
      </c>
      <c r="R48" s="82">
        <v>16.0</v>
      </c>
      <c r="S48" s="82">
        <v>17.0</v>
      </c>
      <c r="T48" s="82">
        <v>18.0</v>
      </c>
      <c r="U48" s="82">
        <v>19.0</v>
      </c>
      <c r="V48" s="82">
        <v>20.0</v>
      </c>
      <c r="W48" s="82">
        <v>21.0</v>
      </c>
      <c r="X48" s="82">
        <v>22.0</v>
      </c>
      <c r="Y48" s="82">
        <v>23.0</v>
      </c>
      <c r="Z48" s="82">
        <v>24.0</v>
      </c>
      <c r="AA48" s="82">
        <v>25.0</v>
      </c>
      <c r="AB48" s="82"/>
      <c r="AC48" s="79"/>
      <c r="AD48" s="20"/>
      <c r="AE48" s="20"/>
      <c r="AF48" s="20"/>
      <c r="AG48" s="20"/>
    </row>
    <row r="49" hidden="1">
      <c r="A49" s="83" t="s">
        <v>12</v>
      </c>
      <c r="B49" s="82">
        <f>AB41-B51-B56</f>
        <v>0</v>
      </c>
      <c r="C49" s="82">
        <f t="shared" ref="C49:AA49" si="26">B49-C51</f>
        <v>0</v>
      </c>
      <c r="D49" s="82">
        <f t="shared" si="26"/>
        <v>0</v>
      </c>
      <c r="E49" s="82">
        <f t="shared" si="26"/>
        <v>0</v>
      </c>
      <c r="F49" s="82">
        <f t="shared" si="26"/>
        <v>0</v>
      </c>
      <c r="G49" s="82">
        <f t="shared" si="26"/>
        <v>0</v>
      </c>
      <c r="H49" s="82">
        <f t="shared" si="26"/>
        <v>0</v>
      </c>
      <c r="I49" s="82">
        <f t="shared" si="26"/>
        <v>0</v>
      </c>
      <c r="J49" s="82">
        <f t="shared" si="26"/>
        <v>0</v>
      </c>
      <c r="K49" s="82">
        <f t="shared" si="26"/>
        <v>0</v>
      </c>
      <c r="L49" s="82">
        <f t="shared" si="26"/>
        <v>0</v>
      </c>
      <c r="M49" s="82">
        <f t="shared" si="26"/>
        <v>0</v>
      </c>
      <c r="N49" s="82">
        <f t="shared" si="26"/>
        <v>0</v>
      </c>
      <c r="O49" s="82">
        <f t="shared" si="26"/>
        <v>0</v>
      </c>
      <c r="P49" s="82">
        <f t="shared" si="26"/>
        <v>0</v>
      </c>
      <c r="Q49" s="82">
        <f t="shared" si="26"/>
        <v>0</v>
      </c>
      <c r="R49" s="82">
        <f t="shared" si="26"/>
        <v>0</v>
      </c>
      <c r="S49" s="82">
        <f t="shared" si="26"/>
        <v>0</v>
      </c>
      <c r="T49" s="82">
        <f t="shared" si="26"/>
        <v>0</v>
      </c>
      <c r="U49" s="82">
        <f t="shared" si="26"/>
        <v>0</v>
      </c>
      <c r="V49" s="82">
        <f t="shared" si="26"/>
        <v>0</v>
      </c>
      <c r="W49" s="82">
        <f t="shared" si="26"/>
        <v>0</v>
      </c>
      <c r="X49" s="82">
        <f t="shared" si="26"/>
        <v>0</v>
      </c>
      <c r="Y49" s="82">
        <f t="shared" si="26"/>
        <v>0</v>
      </c>
      <c r="Z49" s="82">
        <f t="shared" si="26"/>
        <v>0</v>
      </c>
      <c r="AA49" s="82">
        <f t="shared" si="26"/>
        <v>0</v>
      </c>
      <c r="AB49" s="82"/>
      <c r="AC49" s="79"/>
      <c r="AD49" s="20"/>
      <c r="AE49" s="20"/>
      <c r="AF49" s="20"/>
      <c r="AG49" s="20"/>
    </row>
    <row r="50">
      <c r="A50" s="86" t="s">
        <v>13</v>
      </c>
      <c r="B50" s="82">
        <v>0.0</v>
      </c>
      <c r="C50" s="82">
        <f t="shared" ref="C50:AA50" si="27">B49*$AB$3</f>
        <v>0</v>
      </c>
      <c r="D50" s="82">
        <f t="shared" si="27"/>
        <v>0</v>
      </c>
      <c r="E50" s="82">
        <f t="shared" si="27"/>
        <v>0</v>
      </c>
      <c r="F50" s="82">
        <f t="shared" si="27"/>
        <v>0</v>
      </c>
      <c r="G50" s="82">
        <f t="shared" si="27"/>
        <v>0</v>
      </c>
      <c r="H50" s="82">
        <f t="shared" si="27"/>
        <v>0</v>
      </c>
      <c r="I50" s="82">
        <f t="shared" si="27"/>
        <v>0</v>
      </c>
      <c r="J50" s="82">
        <f t="shared" si="27"/>
        <v>0</v>
      </c>
      <c r="K50" s="82">
        <f t="shared" si="27"/>
        <v>0</v>
      </c>
      <c r="L50" s="82">
        <f t="shared" si="27"/>
        <v>0</v>
      </c>
      <c r="M50" s="82">
        <f t="shared" si="27"/>
        <v>0</v>
      </c>
      <c r="N50" s="82">
        <f t="shared" si="27"/>
        <v>0</v>
      </c>
      <c r="O50" s="82">
        <f t="shared" si="27"/>
        <v>0</v>
      </c>
      <c r="P50" s="82">
        <f t="shared" si="27"/>
        <v>0</v>
      </c>
      <c r="Q50" s="82">
        <f t="shared" si="27"/>
        <v>0</v>
      </c>
      <c r="R50" s="82">
        <f t="shared" si="27"/>
        <v>0</v>
      </c>
      <c r="S50" s="82">
        <f t="shared" si="27"/>
        <v>0</v>
      </c>
      <c r="T50" s="82">
        <f t="shared" si="27"/>
        <v>0</v>
      </c>
      <c r="U50" s="82">
        <f t="shared" si="27"/>
        <v>0</v>
      </c>
      <c r="V50" s="82">
        <f t="shared" si="27"/>
        <v>0</v>
      </c>
      <c r="W50" s="82">
        <f t="shared" si="27"/>
        <v>0</v>
      </c>
      <c r="X50" s="82">
        <f t="shared" si="27"/>
        <v>0</v>
      </c>
      <c r="Y50" s="82">
        <f t="shared" si="27"/>
        <v>0</v>
      </c>
      <c r="Z50" s="82">
        <f t="shared" si="27"/>
        <v>0</v>
      </c>
      <c r="AA50" s="82">
        <f t="shared" si="27"/>
        <v>0</v>
      </c>
      <c r="AB50" s="82">
        <f t="shared" ref="AB50:AB52" si="29">SUM(B50:AA50)</f>
        <v>0</v>
      </c>
      <c r="AC50" s="151">
        <f t="shared" ref="AC50:AC52" si="30">B50+NPV($AB$3, C50:AA50)</f>
        <v>0</v>
      </c>
      <c r="AD50" s="20"/>
      <c r="AE50" s="20"/>
      <c r="AF50" s="20"/>
      <c r="AG50" s="20"/>
    </row>
    <row r="51">
      <c r="A51" s="86" t="s">
        <v>14</v>
      </c>
      <c r="B51" s="82">
        <f>AB41-B56</f>
        <v>15729.6</v>
      </c>
      <c r="C51" s="82">
        <f t="shared" ref="C51:AA51" si="28">IF(B49=0, 0, C52-C50)</f>
        <v>0</v>
      </c>
      <c r="D51" s="82">
        <f t="shared" si="28"/>
        <v>0</v>
      </c>
      <c r="E51" s="82">
        <f t="shared" si="28"/>
        <v>0</v>
      </c>
      <c r="F51" s="82">
        <f t="shared" si="28"/>
        <v>0</v>
      </c>
      <c r="G51" s="82">
        <f t="shared" si="28"/>
        <v>0</v>
      </c>
      <c r="H51" s="82">
        <f t="shared" si="28"/>
        <v>0</v>
      </c>
      <c r="I51" s="82">
        <f t="shared" si="28"/>
        <v>0</v>
      </c>
      <c r="J51" s="82">
        <f t="shared" si="28"/>
        <v>0</v>
      </c>
      <c r="K51" s="82">
        <f t="shared" si="28"/>
        <v>0</v>
      </c>
      <c r="L51" s="82">
        <f t="shared" si="28"/>
        <v>0</v>
      </c>
      <c r="M51" s="82">
        <f t="shared" si="28"/>
        <v>0</v>
      </c>
      <c r="N51" s="82">
        <f t="shared" si="28"/>
        <v>0</v>
      </c>
      <c r="O51" s="82">
        <f t="shared" si="28"/>
        <v>0</v>
      </c>
      <c r="P51" s="82">
        <f t="shared" si="28"/>
        <v>0</v>
      </c>
      <c r="Q51" s="82">
        <f t="shared" si="28"/>
        <v>0</v>
      </c>
      <c r="R51" s="82">
        <f t="shared" si="28"/>
        <v>0</v>
      </c>
      <c r="S51" s="82">
        <f t="shared" si="28"/>
        <v>0</v>
      </c>
      <c r="T51" s="82">
        <f t="shared" si="28"/>
        <v>0</v>
      </c>
      <c r="U51" s="82">
        <f t="shared" si="28"/>
        <v>0</v>
      </c>
      <c r="V51" s="82">
        <f t="shared" si="28"/>
        <v>0</v>
      </c>
      <c r="W51" s="82">
        <f t="shared" si="28"/>
        <v>0</v>
      </c>
      <c r="X51" s="82">
        <f t="shared" si="28"/>
        <v>0</v>
      </c>
      <c r="Y51" s="82">
        <f t="shared" si="28"/>
        <v>0</v>
      </c>
      <c r="Z51" s="82">
        <f t="shared" si="28"/>
        <v>0</v>
      </c>
      <c r="AA51" s="82">
        <f t="shared" si="28"/>
        <v>0</v>
      </c>
      <c r="AB51" s="82">
        <f t="shared" si="29"/>
        <v>15729.6</v>
      </c>
      <c r="AC51" s="151">
        <f t="shared" si="30"/>
        <v>15729.6</v>
      </c>
      <c r="AD51" s="20"/>
      <c r="AE51" s="20"/>
      <c r="AF51" s="20"/>
      <c r="AG51" s="20"/>
    </row>
    <row r="52">
      <c r="A52" s="83" t="s">
        <v>15</v>
      </c>
      <c r="B52" s="82">
        <f>B50+B51</f>
        <v>15729.6</v>
      </c>
      <c r="C52" s="82">
        <f t="shared" ref="C52:AA52" si="31">ABS(PMT($AB$3,25,$B$49,0))</f>
        <v>0</v>
      </c>
      <c r="D52" s="82">
        <f t="shared" si="31"/>
        <v>0</v>
      </c>
      <c r="E52" s="82">
        <f t="shared" si="31"/>
        <v>0</v>
      </c>
      <c r="F52" s="82">
        <f t="shared" si="31"/>
        <v>0</v>
      </c>
      <c r="G52" s="82">
        <f t="shared" si="31"/>
        <v>0</v>
      </c>
      <c r="H52" s="82">
        <f t="shared" si="31"/>
        <v>0</v>
      </c>
      <c r="I52" s="82">
        <f t="shared" si="31"/>
        <v>0</v>
      </c>
      <c r="J52" s="82">
        <f t="shared" si="31"/>
        <v>0</v>
      </c>
      <c r="K52" s="82">
        <f t="shared" si="31"/>
        <v>0</v>
      </c>
      <c r="L52" s="82">
        <f t="shared" si="31"/>
        <v>0</v>
      </c>
      <c r="M52" s="82">
        <f t="shared" si="31"/>
        <v>0</v>
      </c>
      <c r="N52" s="82">
        <f t="shared" si="31"/>
        <v>0</v>
      </c>
      <c r="O52" s="82">
        <f t="shared" si="31"/>
        <v>0</v>
      </c>
      <c r="P52" s="82">
        <f t="shared" si="31"/>
        <v>0</v>
      </c>
      <c r="Q52" s="82">
        <f t="shared" si="31"/>
        <v>0</v>
      </c>
      <c r="R52" s="82">
        <f t="shared" si="31"/>
        <v>0</v>
      </c>
      <c r="S52" s="82">
        <f t="shared" si="31"/>
        <v>0</v>
      </c>
      <c r="T52" s="82">
        <f t="shared" si="31"/>
        <v>0</v>
      </c>
      <c r="U52" s="82">
        <f t="shared" si="31"/>
        <v>0</v>
      </c>
      <c r="V52" s="82">
        <f t="shared" si="31"/>
        <v>0</v>
      </c>
      <c r="W52" s="82">
        <f t="shared" si="31"/>
        <v>0</v>
      </c>
      <c r="X52" s="82">
        <f t="shared" si="31"/>
        <v>0</v>
      </c>
      <c r="Y52" s="82">
        <f t="shared" si="31"/>
        <v>0</v>
      </c>
      <c r="Z52" s="82">
        <f t="shared" si="31"/>
        <v>0</v>
      </c>
      <c r="AA52" s="82">
        <f t="shared" si="31"/>
        <v>0</v>
      </c>
      <c r="AB52" s="152">
        <f t="shared" si="29"/>
        <v>15729.6</v>
      </c>
      <c r="AC52" s="153">
        <f t="shared" si="30"/>
        <v>15729.6</v>
      </c>
      <c r="AD52" s="20"/>
      <c r="AE52" s="20"/>
      <c r="AF52" s="20"/>
      <c r="AG52" s="20"/>
    </row>
    <row r="53" hidden="1">
      <c r="A53" s="91" t="s">
        <v>16</v>
      </c>
      <c r="B53" s="82">
        <v>0.0</v>
      </c>
      <c r="C53" s="82">
        <v>1762.0</v>
      </c>
      <c r="D53" s="82">
        <v>1806.0</v>
      </c>
      <c r="E53" s="82">
        <v>1851.0</v>
      </c>
      <c r="F53" s="82">
        <v>1898.0</v>
      </c>
      <c r="G53" s="82">
        <v>1945.0</v>
      </c>
      <c r="H53" s="82">
        <v>1994.0</v>
      </c>
      <c r="I53" s="82">
        <v>2043.0</v>
      </c>
      <c r="J53" s="82">
        <v>2095.0</v>
      </c>
      <c r="K53" s="82">
        <v>2147.0</v>
      </c>
      <c r="L53" s="82">
        <v>2201.0</v>
      </c>
      <c r="M53" s="82">
        <v>2256.0</v>
      </c>
      <c r="N53" s="82">
        <v>2312.0</v>
      </c>
      <c r="O53" s="82">
        <v>2370.0</v>
      </c>
      <c r="P53" s="82">
        <v>2429.0</v>
      </c>
      <c r="Q53" s="82">
        <v>2490.0</v>
      </c>
      <c r="R53" s="82">
        <v>2552.0</v>
      </c>
      <c r="S53" s="82">
        <v>2616.0</v>
      </c>
      <c r="T53" s="82">
        <v>2681.0</v>
      </c>
      <c r="U53" s="82">
        <v>2748.0</v>
      </c>
      <c r="V53" s="82">
        <v>2817.0</v>
      </c>
      <c r="W53" s="82">
        <v>2887.0</v>
      </c>
      <c r="X53" s="82">
        <v>2960.0</v>
      </c>
      <c r="Y53" s="82">
        <v>3034.0</v>
      </c>
      <c r="Z53" s="82">
        <v>3109.0</v>
      </c>
      <c r="AA53" s="82">
        <v>3187.0</v>
      </c>
      <c r="AB53" s="82"/>
      <c r="AC53" s="151">
        <f t="shared" ref="AC53:AC54" si="32">NPV($AB$3, C53:AA53)</f>
        <v>25168.5933</v>
      </c>
      <c r="AD53" s="20"/>
      <c r="AE53" s="20"/>
      <c r="AF53" s="20"/>
      <c r="AG53" s="20"/>
    </row>
    <row r="54" hidden="1">
      <c r="A54" s="91" t="s">
        <v>17</v>
      </c>
      <c r="B54" s="82">
        <v>0.0</v>
      </c>
      <c r="C54" s="82">
        <v>997.0</v>
      </c>
      <c r="D54" s="82">
        <v>1024.0</v>
      </c>
      <c r="E54" s="82">
        <v>1051.0</v>
      </c>
      <c r="F54" s="82">
        <v>1080.0</v>
      </c>
      <c r="G54" s="82">
        <v>1109.0</v>
      </c>
      <c r="H54" s="82">
        <v>1139.0</v>
      </c>
      <c r="I54" s="82">
        <v>1170.0</v>
      </c>
      <c r="J54" s="82">
        <v>1202.0</v>
      </c>
      <c r="K54" s="82">
        <v>1235.0</v>
      </c>
      <c r="L54" s="82">
        <v>1268.0</v>
      </c>
      <c r="M54" s="82">
        <v>1303.0</v>
      </c>
      <c r="N54" s="82">
        <v>1338.0</v>
      </c>
      <c r="O54" s="82">
        <v>1375.0</v>
      </c>
      <c r="P54" s="82">
        <v>1412.0</v>
      </c>
      <c r="Q54" s="82">
        <v>1450.0</v>
      </c>
      <c r="R54" s="82">
        <v>1490.0</v>
      </c>
      <c r="S54" s="82">
        <v>1531.0</v>
      </c>
      <c r="T54" s="82">
        <v>1572.0</v>
      </c>
      <c r="U54" s="82">
        <v>1615.0</v>
      </c>
      <c r="V54" s="82">
        <v>1659.0</v>
      </c>
      <c r="W54" s="82">
        <v>1704.0</v>
      </c>
      <c r="X54" s="82">
        <v>1751.0</v>
      </c>
      <c r="Y54" s="82">
        <v>1799.0</v>
      </c>
      <c r="Z54" s="82">
        <v>1848.0</v>
      </c>
      <c r="AA54" s="82">
        <v>1898.0</v>
      </c>
      <c r="AB54" s="82"/>
      <c r="AC54" s="151">
        <f t="shared" si="32"/>
        <v>14531.30298</v>
      </c>
      <c r="AD54" s="20"/>
      <c r="AE54" s="20"/>
      <c r="AF54" s="20"/>
      <c r="AG54" s="20"/>
    </row>
    <row r="55">
      <c r="A55" s="88" t="s">
        <v>25</v>
      </c>
      <c r="B55" s="82">
        <v>0.0</v>
      </c>
      <c r="C55" s="82">
        <f t="shared" ref="C55:AA55" si="33">C53-C54</f>
        <v>765</v>
      </c>
      <c r="D55" s="82">
        <f t="shared" si="33"/>
        <v>782</v>
      </c>
      <c r="E55" s="82">
        <f t="shared" si="33"/>
        <v>800</v>
      </c>
      <c r="F55" s="82">
        <f t="shared" si="33"/>
        <v>818</v>
      </c>
      <c r="G55" s="82">
        <f t="shared" si="33"/>
        <v>836</v>
      </c>
      <c r="H55" s="82">
        <f t="shared" si="33"/>
        <v>855</v>
      </c>
      <c r="I55" s="82">
        <f t="shared" si="33"/>
        <v>873</v>
      </c>
      <c r="J55" s="82">
        <f t="shared" si="33"/>
        <v>893</v>
      </c>
      <c r="K55" s="82">
        <f t="shared" si="33"/>
        <v>912</v>
      </c>
      <c r="L55" s="82">
        <f t="shared" si="33"/>
        <v>933</v>
      </c>
      <c r="M55" s="82">
        <f t="shared" si="33"/>
        <v>953</v>
      </c>
      <c r="N55" s="82">
        <f t="shared" si="33"/>
        <v>974</v>
      </c>
      <c r="O55" s="82">
        <f t="shared" si="33"/>
        <v>995</v>
      </c>
      <c r="P55" s="82">
        <f t="shared" si="33"/>
        <v>1017</v>
      </c>
      <c r="Q55" s="82">
        <f t="shared" si="33"/>
        <v>1040</v>
      </c>
      <c r="R55" s="82">
        <f t="shared" si="33"/>
        <v>1062</v>
      </c>
      <c r="S55" s="82">
        <f t="shared" si="33"/>
        <v>1085</v>
      </c>
      <c r="T55" s="82">
        <f t="shared" si="33"/>
        <v>1109</v>
      </c>
      <c r="U55" s="82">
        <f t="shared" si="33"/>
        <v>1133</v>
      </c>
      <c r="V55" s="82">
        <f t="shared" si="33"/>
        <v>1158</v>
      </c>
      <c r="W55" s="82">
        <f t="shared" si="33"/>
        <v>1183</v>
      </c>
      <c r="X55" s="82">
        <f t="shared" si="33"/>
        <v>1209</v>
      </c>
      <c r="Y55" s="82">
        <f t="shared" si="33"/>
        <v>1235</v>
      </c>
      <c r="Z55" s="82">
        <f t="shared" si="33"/>
        <v>1261</v>
      </c>
      <c r="AA55" s="82">
        <f t="shared" si="33"/>
        <v>1289</v>
      </c>
      <c r="AB55" s="82">
        <f t="shared" ref="AB55:AB57" si="35">SUM(B55:AA55)</f>
        <v>25170</v>
      </c>
      <c r="AC55" s="151">
        <f t="shared" ref="AC55:AC57" si="36">B55+NPV($AB$3, C55:AA55)</f>
        <v>10637.29032</v>
      </c>
      <c r="AD55" s="20"/>
      <c r="AE55" s="20"/>
      <c r="AF55" s="20"/>
      <c r="AG55" s="20"/>
    </row>
    <row r="56">
      <c r="A56" s="92" t="s">
        <v>19</v>
      </c>
      <c r="B56" s="82">
        <f>AB43+AB44</f>
        <v>19598.4</v>
      </c>
      <c r="C56" s="82">
        <f t="shared" ref="C56:AA56" si="34">$AB$6</f>
        <v>600</v>
      </c>
      <c r="D56" s="82">
        <f t="shared" si="34"/>
        <v>600</v>
      </c>
      <c r="E56" s="82">
        <f t="shared" si="34"/>
        <v>600</v>
      </c>
      <c r="F56" s="82">
        <f t="shared" si="34"/>
        <v>600</v>
      </c>
      <c r="G56" s="82">
        <f t="shared" si="34"/>
        <v>600</v>
      </c>
      <c r="H56" s="82">
        <f t="shared" si="34"/>
        <v>600</v>
      </c>
      <c r="I56" s="82">
        <f t="shared" si="34"/>
        <v>600</v>
      </c>
      <c r="J56" s="82">
        <f t="shared" si="34"/>
        <v>600</v>
      </c>
      <c r="K56" s="82">
        <f t="shared" si="34"/>
        <v>600</v>
      </c>
      <c r="L56" s="82">
        <f t="shared" si="34"/>
        <v>600</v>
      </c>
      <c r="M56" s="82">
        <f t="shared" si="34"/>
        <v>600</v>
      </c>
      <c r="N56" s="82">
        <f t="shared" si="34"/>
        <v>600</v>
      </c>
      <c r="O56" s="82">
        <f t="shared" si="34"/>
        <v>600</v>
      </c>
      <c r="P56" s="82">
        <f t="shared" si="34"/>
        <v>600</v>
      </c>
      <c r="Q56" s="82">
        <f t="shared" si="34"/>
        <v>600</v>
      </c>
      <c r="R56" s="82">
        <f t="shared" si="34"/>
        <v>600</v>
      </c>
      <c r="S56" s="82">
        <f t="shared" si="34"/>
        <v>600</v>
      </c>
      <c r="T56" s="82">
        <f t="shared" si="34"/>
        <v>600</v>
      </c>
      <c r="U56" s="82">
        <f t="shared" si="34"/>
        <v>600</v>
      </c>
      <c r="V56" s="82">
        <f t="shared" si="34"/>
        <v>600</v>
      </c>
      <c r="W56" s="82">
        <f t="shared" si="34"/>
        <v>600</v>
      </c>
      <c r="X56" s="82">
        <f t="shared" si="34"/>
        <v>600</v>
      </c>
      <c r="Y56" s="82">
        <f t="shared" si="34"/>
        <v>600</v>
      </c>
      <c r="Z56" s="82">
        <f t="shared" si="34"/>
        <v>600</v>
      </c>
      <c r="AA56" s="82">
        <f t="shared" si="34"/>
        <v>600</v>
      </c>
      <c r="AB56" s="82">
        <f t="shared" si="35"/>
        <v>34598.4</v>
      </c>
      <c r="AC56" s="151">
        <f t="shared" si="36"/>
        <v>26441.94098</v>
      </c>
      <c r="AD56" s="20"/>
      <c r="AE56" s="20"/>
      <c r="AF56" s="20"/>
      <c r="AG56" s="20"/>
    </row>
    <row r="57">
      <c r="A57" s="93" t="s">
        <v>23</v>
      </c>
      <c r="B57" s="151">
        <f t="shared" ref="B57:AA57" si="37">B55+B56</f>
        <v>19598.4</v>
      </c>
      <c r="C57" s="151">
        <f t="shared" si="37"/>
        <v>1365</v>
      </c>
      <c r="D57" s="151">
        <f t="shared" si="37"/>
        <v>1382</v>
      </c>
      <c r="E57" s="151">
        <f t="shared" si="37"/>
        <v>1400</v>
      </c>
      <c r="F57" s="151">
        <f t="shared" si="37"/>
        <v>1418</v>
      </c>
      <c r="G57" s="151">
        <f t="shared" si="37"/>
        <v>1436</v>
      </c>
      <c r="H57" s="151">
        <f t="shared" si="37"/>
        <v>1455</v>
      </c>
      <c r="I57" s="151">
        <f t="shared" si="37"/>
        <v>1473</v>
      </c>
      <c r="J57" s="151">
        <f t="shared" si="37"/>
        <v>1493</v>
      </c>
      <c r="K57" s="151">
        <f t="shared" si="37"/>
        <v>1512</v>
      </c>
      <c r="L57" s="151">
        <f t="shared" si="37"/>
        <v>1533</v>
      </c>
      <c r="M57" s="151">
        <f t="shared" si="37"/>
        <v>1553</v>
      </c>
      <c r="N57" s="151">
        <f t="shared" si="37"/>
        <v>1574</v>
      </c>
      <c r="O57" s="151">
        <f t="shared" si="37"/>
        <v>1595</v>
      </c>
      <c r="P57" s="151">
        <f t="shared" si="37"/>
        <v>1617</v>
      </c>
      <c r="Q57" s="151">
        <f t="shared" si="37"/>
        <v>1640</v>
      </c>
      <c r="R57" s="151">
        <f t="shared" si="37"/>
        <v>1662</v>
      </c>
      <c r="S57" s="151">
        <f t="shared" si="37"/>
        <v>1685</v>
      </c>
      <c r="T57" s="151">
        <f t="shared" si="37"/>
        <v>1709</v>
      </c>
      <c r="U57" s="151">
        <f t="shared" si="37"/>
        <v>1733</v>
      </c>
      <c r="V57" s="151">
        <f t="shared" si="37"/>
        <v>1758</v>
      </c>
      <c r="W57" s="151">
        <f t="shared" si="37"/>
        <v>1783</v>
      </c>
      <c r="X57" s="151">
        <f t="shared" si="37"/>
        <v>1809</v>
      </c>
      <c r="Y57" s="151">
        <f t="shared" si="37"/>
        <v>1835</v>
      </c>
      <c r="Z57" s="151">
        <f t="shared" si="37"/>
        <v>1861</v>
      </c>
      <c r="AA57" s="151">
        <f t="shared" si="37"/>
        <v>1889</v>
      </c>
      <c r="AB57" s="152">
        <f t="shared" si="35"/>
        <v>59768.4</v>
      </c>
      <c r="AC57" s="153">
        <f t="shared" si="36"/>
        <v>37079.23129</v>
      </c>
      <c r="AD57" s="20"/>
      <c r="AE57" s="20"/>
      <c r="AF57" s="20"/>
      <c r="AG57" s="20"/>
    </row>
    <row r="58">
      <c r="A58" s="80" t="s">
        <v>21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154">
        <f t="shared" ref="AB58:AC58" si="38">AB57-AB52</f>
        <v>44038.8</v>
      </c>
      <c r="AC58" s="154">
        <f t="shared" si="38"/>
        <v>21349.63129</v>
      </c>
      <c r="AD58" s="20"/>
      <c r="AE58" s="20"/>
      <c r="AF58" s="20"/>
      <c r="AG58" s="20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20"/>
      <c r="AE59" s="20"/>
      <c r="AF59" s="20"/>
      <c r="AG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2025-11-23T19:29:16Z</dcterms:created>
  <dc:creator>Duke NSOE MEM 2026 Cohort</dc:creator>
</cp:coreProperties>
</file>