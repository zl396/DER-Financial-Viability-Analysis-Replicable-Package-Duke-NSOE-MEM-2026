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820" tabRatio="600" firstSheet="0" activeTab="6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V+Storage RSC" sheetId="2" state="visible" r:id="rId2"/>
    <sheet xmlns:r="http://schemas.openxmlformats.org/officeDocument/2006/relationships" name="PV+Storage Bridge" sheetId="3" state="visible" r:id="rId3"/>
    <sheet xmlns:r="http://schemas.openxmlformats.org/officeDocument/2006/relationships" name="Solar Only RSC" sheetId="4" state="visible" r:id="rId4"/>
    <sheet xmlns:r="http://schemas.openxmlformats.org/officeDocument/2006/relationships" name="Solar Only Bridge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Monthly Cash Flow" sheetId="7" state="visible" r:id="rId7"/>
    <sheet xmlns:r="http://schemas.openxmlformats.org/officeDocument/2006/relationships" name="Sensitivity Analysis" sheetId="8" state="visible" r:id="rId8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0">
    <numFmt numFmtId="164" formatCode="\$#,##0;\(\$#,##0\);&quot;-&quot;"/>
    <numFmt numFmtId="165" formatCode="0.0"/>
    <numFmt numFmtId="166" formatCode="0.0%"/>
    <numFmt numFmtId="167" formatCode="\$#,##0.00;\(\$#,##0.00\);&quot;-&quot;"/>
    <numFmt numFmtId="168" formatCode="$#,##0.00;($#,##0.00);&quot;-&quot;"/>
    <numFmt numFmtId="169" formatCode="$#,##0.00"/>
    <numFmt numFmtId="170" formatCode="$#,##0"/>
    <numFmt numFmtId="171" formatCode="$#,##0;($#,##0);&quot;-&quot;"/>
    <numFmt numFmtId="172" formatCode="0 &quot;years&quot;"/>
    <numFmt numFmtId="173" formatCode="0.0 &quot;years&quot;"/>
  </numFmts>
  <fonts count="20">
    <font>
      <name val="Calibri"/>
      <family val="2"/>
      <color theme="1"/>
      <sz val="11"/>
      <scheme val="minor"/>
    </font>
    <font>
      <name val="Arial"/>
      <family val="2"/>
      <b val="1"/>
      <color rgb="FF000000"/>
      <sz val="14"/>
    </font>
    <font>
      <name val="Arial"/>
      <family val="2"/>
      <i val="1"/>
      <color rgb="FF666666"/>
      <sz val="9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b val="1"/>
      <color rgb="FF000000"/>
      <sz val="10"/>
    </font>
    <font>
      <name val="Arial"/>
      <family val="2"/>
      <color rgb="FF008000"/>
      <sz val="10"/>
    </font>
    <font>
      <name val="Arial"/>
      <family val="2"/>
      <b val="1"/>
      <color rgb="FF000000"/>
      <sz val="11"/>
    </font>
    <font>
      <name val="Arial"/>
      <family val="2"/>
      <b val="1"/>
      <i val="1"/>
      <color rgb="FF666666"/>
      <sz val="9"/>
    </font>
    <font>
      <name val="Arial"/>
      <b val="1"/>
      <color rgb="00000000"/>
      <sz val="12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DCE6F1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2" fontId="5" fillId="2" borderId="0" pivotButton="0" quotePrefix="0" xfId="0"/>
    <xf numFmtId="165" fontId="5" fillId="2" borderId="0" pivotButton="0" quotePrefix="0" xfId="0"/>
    <xf numFmtId="166" fontId="5" fillId="2" borderId="0" pivotButton="0" quotePrefix="0" xfId="0"/>
    <xf numFmtId="1" fontId="5" fillId="2" borderId="0" pivotButton="0" quotePrefix="0" xfId="0"/>
    <xf numFmtId="164" fontId="4" fillId="0" borderId="0" pivotButton="0" quotePrefix="0" xfId="0"/>
    <xf numFmtId="167" fontId="5" fillId="2" borderId="0" pivotButton="0" quotePrefix="0" xfId="0"/>
    <xf numFmtId="0" fontId="6" fillId="3" borderId="0" pivotButton="0" quotePrefix="0" xfId="0"/>
    <xf numFmtId="0" fontId="6" fillId="4" borderId="0" pivotButton="0" quotePrefix="0" xfId="0"/>
    <xf numFmtId="1" fontId="6" fillId="4" borderId="0" pivotButton="0" quotePrefix="0" xfId="0"/>
    <xf numFmtId="164" fontId="7" fillId="0" borderId="0" pivotButton="0" quotePrefix="0" xfId="0"/>
    <xf numFmtId="0" fontId="6" fillId="0" borderId="0" pivotButton="0" quotePrefix="0" xfId="0"/>
    <xf numFmtId="0" fontId="8" fillId="0" borderId="1" pivotButton="0" quotePrefix="0" xfId="0"/>
    <xf numFmtId="164" fontId="4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0" fontId="9" fillId="0" borderId="0" pivotButton="0" quotePrefix="0" xfId="0"/>
    <xf numFmtId="0" fontId="11" fillId="0" borderId="0" pivotButton="0" quotePrefix="0" xfId="0"/>
    <xf numFmtId="168" fontId="11" fillId="0" borderId="0" pivotButton="0" quotePrefix="0" xfId="0"/>
    <xf numFmtId="0" fontId="10" fillId="0" borderId="0" pivotButton="0" quotePrefix="0" xfId="0"/>
    <xf numFmtId="169" fontId="12" fillId="5" borderId="0" pivotButton="0" quotePrefix="0" xfId="0"/>
    <xf numFmtId="0" fontId="13" fillId="0" borderId="0" pivotButton="0" quotePrefix="0" xfId="0"/>
    <xf numFmtId="170" fontId="12" fillId="5" borderId="0" pivotButton="0" quotePrefix="0" xfId="0"/>
    <xf numFmtId="166" fontId="12" fillId="5" borderId="0" pivotButton="0" quotePrefix="0" xfId="0"/>
    <xf numFmtId="165" fontId="12" fillId="5" borderId="0" pivotButton="0" quotePrefix="0" xfId="0"/>
    <xf numFmtId="169" fontId="11" fillId="0" borderId="0" pivotButton="0" quotePrefix="0" xfId="0"/>
    <xf numFmtId="168" fontId="11" fillId="0" borderId="0" pivotButton="0" quotePrefix="0" xfId="0"/>
    <xf numFmtId="169" fontId="12" fillId="5" borderId="0" pivotButton="0" quotePrefix="0" xfId="0"/>
    <xf numFmtId="169" fontId="11" fillId="0" borderId="0" pivotButton="0" quotePrefix="0" xfId="0"/>
    <xf numFmtId="0" fontId="14" fillId="0" borderId="0" pivotButton="0" quotePrefix="0" xfId="0"/>
    <xf numFmtId="0" fontId="15" fillId="6" borderId="0" pivotButton="0" quotePrefix="0" xfId="0"/>
    <xf numFmtId="0" fontId="16" fillId="0" borderId="0" pivotButton="0" quotePrefix="0" xfId="0"/>
    <xf numFmtId="171" fontId="17" fillId="0" borderId="0" pivotButton="0" quotePrefix="0" xfId="0"/>
    <xf numFmtId="168" fontId="17" fillId="0" borderId="0" pivotButton="0" quotePrefix="0" xfId="0"/>
    <xf numFmtId="172" fontId="17" fillId="0" borderId="0" pivotButton="0" quotePrefix="0" xfId="0"/>
    <xf numFmtId="166" fontId="17" fillId="0" borderId="0" pivotButton="0" quotePrefix="0" xfId="0"/>
    <xf numFmtId="10" fontId="17" fillId="0" borderId="0" pivotButton="0" quotePrefix="0" xfId="0"/>
    <xf numFmtId="0" fontId="18" fillId="7" borderId="2" applyAlignment="1" pivotButton="0" quotePrefix="0" xfId="0">
      <alignment horizontal="center" wrapText="1"/>
    </xf>
    <xf numFmtId="171" fontId="11" fillId="0" borderId="0" pivotButton="0" quotePrefix="0" xfId="0"/>
    <xf numFmtId="0" fontId="15" fillId="8" borderId="0" pivotButton="0" quotePrefix="0" xfId="0"/>
    <xf numFmtId="171" fontId="11" fillId="0" borderId="2" pivotButton="0" quotePrefix="0" xfId="0"/>
    <xf numFmtId="10" fontId="11" fillId="0" borderId="2" pivotButton="0" quotePrefix="0" xfId="0"/>
    <xf numFmtId="0" fontId="11" fillId="0" borderId="2" pivotButton="0" quotePrefix="0" xfId="0"/>
    <xf numFmtId="0" fontId="15" fillId="0" borderId="0" pivotButton="0" quotePrefix="0" xfId="0"/>
    <xf numFmtId="10" fontId="12" fillId="5" borderId="2" applyAlignment="1" pivotButton="0" quotePrefix="0" xfId="0">
      <alignment horizontal="center"/>
    </xf>
    <xf numFmtId="0" fontId="19" fillId="0" borderId="0" pivotButton="0" quotePrefix="0" xfId="0"/>
    <xf numFmtId="166" fontId="11" fillId="0" borderId="2" pivotButton="0" quotePrefix="0" xfId="0"/>
    <xf numFmtId="173" fontId="11" fillId="0" borderId="2" pivotButton="0" quotePrefix="0" xfId="0"/>
    <xf numFmtId="10" fontId="12" fillId="5" borderId="0" pivotButton="0" quotePrefix="0" xfId="0"/>
    <xf numFmtId="168" fontId="11" fillId="0" borderId="2" pivotButton="0" quotePrefix="0" xfId="0"/>
    <xf numFmtId="0" fontId="15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B1:E41"/>
  <sheetViews>
    <sheetView topLeftCell="A3" zoomScale="164" workbookViewId="0">
      <selection activeCell="A1" sqref="A1"/>
    </sheetView>
  </sheetViews>
  <sheetFormatPr baseColWidth="10" defaultColWidth="8.83203125" defaultRowHeight="15"/>
  <cols>
    <col width="4" customWidth="1" min="1" max="1"/>
    <col width="40" customWidth="1" min="2" max="2"/>
    <col width="16" customWidth="1" min="3" max="3"/>
    <col width="14" customWidth="1" min="4" max="4"/>
    <col width="42" customWidth="1" min="5" max="5"/>
  </cols>
  <sheetData>
    <row r="1" ht="18" customHeight="1">
      <c r="B1" s="1" t="inlineStr">
        <is>
          <t>NC Solar Financing Model — Input Parameters</t>
        </is>
      </c>
    </row>
    <row r="2">
      <c r="B2" s="2" t="inlineStr">
        <is>
          <t>Blue text = editable input  |  Black text = formula  |  Green text = cross-sheet link</t>
        </is>
      </c>
    </row>
    <row r="4" ht="16" customHeight="1">
      <c r="B4" s="3" t="inlineStr">
        <is>
          <t>SYSTEM PARAMETERS</t>
        </is>
      </c>
    </row>
    <row r="5">
      <c r="B5" s="4" t="inlineStr">
        <is>
          <t>PV + Storage System Cost</t>
        </is>
      </c>
      <c r="C5" s="5" t="n">
        <v>25085</v>
      </c>
      <c r="D5" s="4" t="inlineStr">
        <is>
          <t>$</t>
        </is>
      </c>
      <c r="E5" s="2" t="inlineStr">
        <is>
          <t>Source: SAM model, Duke Energy NC residential config</t>
        </is>
      </c>
    </row>
    <row r="6">
      <c r="B6" s="4" t="inlineStr">
        <is>
          <t>Solar Only System Cost</t>
        </is>
      </c>
      <c r="C6" s="5" t="n">
        <v>16302</v>
      </c>
      <c r="D6" s="4" t="inlineStr">
        <is>
          <t>$</t>
        </is>
      </c>
    </row>
    <row r="7">
      <c r="B7" s="4" t="inlineStr">
        <is>
          <t>Solar PV Capacity</t>
        </is>
      </c>
      <c r="C7" s="6" t="n">
        <v>5.77</v>
      </c>
      <c r="D7" s="4" t="inlineStr">
        <is>
          <t>kW</t>
        </is>
      </c>
    </row>
    <row r="8">
      <c r="B8" s="4" t="inlineStr">
        <is>
          <t>Battery Storage Capacity</t>
        </is>
      </c>
      <c r="C8" s="7" t="n">
        <v>13.5</v>
      </c>
      <c r="D8" s="4" t="inlineStr">
        <is>
          <t>kWh</t>
        </is>
      </c>
    </row>
    <row r="10" ht="16" customHeight="1">
      <c r="B10" s="3" t="inlineStr">
        <is>
          <t>FINANCIAL PARAMETERS</t>
        </is>
      </c>
    </row>
    <row r="11">
      <c r="B11" s="4" t="inlineStr">
        <is>
          <t>Debt Interest Rate</t>
        </is>
      </c>
      <c r="C11" s="8" t="n">
        <v>0.07240000000000001</v>
      </c>
      <c r="E11" s="2" t="inlineStr">
        <is>
          <t>Source: Prevailing NC residential solar loan rate</t>
        </is>
      </c>
    </row>
    <row r="12">
      <c r="B12" s="4" t="inlineStr">
        <is>
          <t>Customer Discount Rate</t>
        </is>
      </c>
      <c r="C12" s="8" t="n">
        <v>0.064</v>
      </c>
    </row>
    <row r="13">
      <c r="B13" s="4" t="inlineStr">
        <is>
          <t>Loan Term</t>
        </is>
      </c>
      <c r="C13" s="9" t="n">
        <v>25</v>
      </c>
      <c r="D13" s="4" t="inlineStr">
        <is>
          <t>years</t>
        </is>
      </c>
    </row>
    <row r="14">
      <c r="B14" s="4" t="inlineStr">
        <is>
          <t>Electricity Cost Escalation Rate</t>
        </is>
      </c>
      <c r="C14" s="8" t="n">
        <v>0.025</v>
      </c>
      <c r="E14" s="2" t="inlineStr">
        <is>
          <t>Source: EIA historical NC avg ~2-3%/yr</t>
        </is>
      </c>
    </row>
    <row r="16" ht="16" customHeight="1">
      <c r="B16" s="3" t="inlineStr">
        <is>
          <t>INCENTIVES</t>
        </is>
      </c>
    </row>
    <row r="17">
      <c r="B17" s="4" t="inlineStr">
        <is>
          <t>Federal ITC Rate</t>
        </is>
      </c>
      <c r="C17" s="8" t="n">
        <v>0.3</v>
      </c>
      <c r="E17" s="2" t="inlineStr">
        <is>
          <t>Expired Dec 2025; included for historical scenario comparison</t>
        </is>
      </c>
    </row>
    <row r="18">
      <c r="B18" s="4" t="inlineStr">
        <is>
          <t>FedITC Amount — PV+Storage</t>
        </is>
      </c>
      <c r="C18" s="10">
        <f>C5*C17</f>
        <v/>
      </c>
    </row>
    <row r="19">
      <c r="B19" s="4" t="inlineStr">
        <is>
          <t>FedITC Amount — Solar Only</t>
        </is>
      </c>
      <c r="C19" s="10">
        <f>C6*C17</f>
        <v/>
      </c>
    </row>
    <row r="20">
      <c r="B20" s="22" t="inlineStr">
        <is>
          <t>PowerPair Rebate (calculated below)</t>
        </is>
      </c>
      <c r="C20" s="31">
        <f>C35</f>
        <v/>
      </c>
      <c r="E20" s="2" t="inlineStr">
        <is>
          <t>Source: Duke Energy NC PowerPair pilot program</t>
        </is>
      </c>
    </row>
    <row r="21">
      <c r="B21" s="22" t="inlineStr">
        <is>
          <t>EnergyWise Annual Credit (calculated below)</t>
        </is>
      </c>
      <c r="C21" s="31">
        <f>C41</f>
        <v/>
      </c>
      <c r="D21" s="4" t="inlineStr">
        <is>
          <t>$/yr</t>
        </is>
      </c>
      <c r="E21" s="2" t="inlineStr">
        <is>
          <t>Source: Duke Energy EnergyWise Home Battery program</t>
        </is>
      </c>
    </row>
    <row r="23" ht="16" customHeight="1">
      <c r="B23" s="3" t="inlineStr">
        <is>
          <t>YEAR 1 ELECTRICITY BILLS (from SAM simulation)</t>
        </is>
      </c>
    </row>
    <row r="24">
      <c r="C24" s="12" t="inlineStr">
        <is>
          <t>Without System</t>
        </is>
      </c>
      <c r="D24" s="12" t="inlineStr">
        <is>
          <t>With System</t>
        </is>
      </c>
      <c r="E24" s="12" t="inlineStr">
        <is>
          <t>Annual Savings</t>
        </is>
      </c>
    </row>
    <row r="25">
      <c r="B25" s="4" t="inlineStr">
        <is>
          <t>PV+Storage — RSC ($/yr)</t>
        </is>
      </c>
      <c r="C25" s="5" t="n">
        <v>1744</v>
      </c>
      <c r="D25" s="5" t="n">
        <v>1113</v>
      </c>
      <c r="E25" s="10">
        <f>C25-D25</f>
        <v/>
      </c>
    </row>
    <row r="26">
      <c r="B26" s="4" t="inlineStr">
        <is>
          <t>PV+Storage — Bridge ($/yr)</t>
        </is>
      </c>
      <c r="C26" s="5" t="n">
        <v>1624</v>
      </c>
      <c r="D26" s="5" t="n">
        <v>1048</v>
      </c>
      <c r="E26" s="10">
        <f>C26-D26</f>
        <v/>
      </c>
    </row>
    <row r="27">
      <c r="B27" s="4" t="inlineStr">
        <is>
          <t>Solar Only — RSC ($/yr)</t>
        </is>
      </c>
      <c r="C27" s="5" t="n">
        <v>1744</v>
      </c>
      <c r="D27" s="5" t="n">
        <v>1113</v>
      </c>
      <c r="E27" s="10">
        <f>C27-D27</f>
        <v/>
      </c>
    </row>
    <row r="28">
      <c r="B28" s="4" t="inlineStr">
        <is>
          <t>Solar Only — Bridge ($/yr)</t>
        </is>
      </c>
      <c r="C28" s="5" t="n">
        <v>1624</v>
      </c>
      <c r="D28" s="5" t="n">
        <v>1121</v>
      </c>
      <c r="E28" s="10">
        <f>C28-D28</f>
        <v/>
      </c>
    </row>
    <row r="30">
      <c r="B30" s="24" t="inlineStr">
        <is>
          <t>INCENTIVE CALCULATION DETAIL</t>
        </is>
      </c>
    </row>
    <row r="31">
      <c r="B31" s="22" t="inlineStr">
        <is>
          <t>PowerPair Solar Rate</t>
        </is>
      </c>
      <c r="C31" s="32" t="n">
        <v>0.36</v>
      </c>
      <c r="D31" s="22" t="inlineStr">
        <is>
          <t>$/W</t>
        </is>
      </c>
      <c r="E31" s="26" t="inlineStr">
        <is>
          <t>Source: Duke Energy PowerPair program, NCUC approved</t>
        </is>
      </c>
    </row>
    <row r="32">
      <c r="B32" s="22" t="inlineStr">
        <is>
          <t>PowerPair Solar Amount</t>
        </is>
      </c>
      <c r="C32" s="31">
        <f>C31*C7*1000</f>
        <v/>
      </c>
      <c r="E32" s="26">
        <f> rate × solar capacity (W), capped at $3,600</f>
        <v/>
      </c>
    </row>
    <row r="33">
      <c r="B33" s="22" t="inlineStr">
        <is>
          <t>PowerPair Battery Rate</t>
        </is>
      </c>
      <c r="C33" s="27" t="n">
        <v>400</v>
      </c>
      <c r="D33" s="22" t="inlineStr">
        <is>
          <t>$/kWh</t>
        </is>
      </c>
    </row>
    <row r="34">
      <c r="B34" s="22" t="inlineStr">
        <is>
          <t>PowerPair Battery Amount</t>
        </is>
      </c>
      <c r="C34" s="31">
        <f>C33*C8</f>
        <v/>
      </c>
      <c r="E34" s="26">
        <f> rate × battery capacity (kWh), capped at $5,400</f>
        <v/>
      </c>
    </row>
    <row r="35">
      <c r="B35" s="22" t="inlineStr">
        <is>
          <t>PowerPair Total Rebate</t>
        </is>
      </c>
      <c r="C35" s="31">
        <f>MIN(C32,3600)+MIN(C34,5400)</f>
        <v/>
      </c>
      <c r="E35" s="26">
        <f> solar (cap $3,600) + battery (cap $5,400), max $9,000</f>
        <v/>
      </c>
    </row>
    <row r="37">
      <c r="B37" s="22" t="inlineStr">
        <is>
          <t>EnergyWise Base Rate</t>
        </is>
      </c>
      <c r="C37" s="32" t="n">
        <v>6.5</v>
      </c>
      <c r="D37" s="22" t="inlineStr">
        <is>
          <t>$/kW/mo</t>
        </is>
      </c>
      <c r="E37" s="26" t="inlineStr">
        <is>
          <t>Source: Duke Energy EnergyWise Home Battery Control</t>
        </is>
      </c>
    </row>
    <row r="38">
      <c r="B38" s="22" t="inlineStr">
        <is>
          <t>Capability Factor</t>
        </is>
      </c>
      <c r="C38" s="28" t="n">
        <v>0.709</v>
      </c>
      <c r="E38" s="26" t="inlineStr">
        <is>
          <t>Subject to change per Duke Energy program terms</t>
        </is>
      </c>
    </row>
    <row r="39">
      <c r="B39" s="22" t="inlineStr">
        <is>
          <t>Battery Continuous Power Rating</t>
        </is>
      </c>
      <c r="C39" s="29" t="n">
        <v>5</v>
      </c>
      <c r="D39" s="22" t="inlineStr">
        <is>
          <t>kW</t>
        </is>
      </c>
      <c r="E39" s="26" t="inlineStr">
        <is>
          <t>Tesla Powerwall 2: 5kW continuous</t>
        </is>
      </c>
    </row>
    <row r="40">
      <c r="B40" s="22" t="inlineStr">
        <is>
          <t>EnergyWise Net Rate</t>
        </is>
      </c>
      <c r="C40" s="33">
        <f>C37*C38</f>
        <v/>
      </c>
      <c r="D40" s="22" t="inlineStr">
        <is>
          <t>$/kW/mo</t>
        </is>
      </c>
      <c r="E40" s="26">
        <f> base rate × capability factor</f>
        <v/>
      </c>
    </row>
    <row r="41">
      <c r="B41" s="22" t="inlineStr">
        <is>
          <t>EnergyWise Annual Credit</t>
        </is>
      </c>
      <c r="C41" s="31">
        <f>C40*C39*12</f>
        <v/>
      </c>
      <c r="E41" s="26">
        <f> net rate × battery kW × 12 months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AC46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12" customWidth="1" min="2" max="29"/>
  </cols>
  <sheetData>
    <row r="1" ht="18" customHeight="1">
      <c r="A1" s="1" t="inlineStr">
        <is>
          <t>PV + Storage — RSC Rate</t>
        </is>
      </c>
    </row>
    <row r="2">
      <c r="A2" s="2" t="inlineStr">
        <is>
          <t>All formulas reference Inputs sheet</t>
        </is>
      </c>
    </row>
    <row r="4" ht="16" customHeight="1">
      <c r="A4" s="3" t="inlineStr">
        <is>
          <t>Scenario 1: FedITC + State Incentives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Inputs!C5-Inputs!C18-Inputs!C20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— P&amp;I ($)</t>
        </is>
      </c>
      <c r="B9" s="10" t="n">
        <v>0</v>
      </c>
      <c r="C9" s="10">
        <f>IF(B6&lt;=0,0,ABS(PMT(Inputs!$C$11,Inputs!$C$13,B6,0)))</f>
        <v/>
      </c>
      <c r="D9" s="10">
        <f>IF(C6&lt;=0,0,ABS(PMT(Inputs!$C$11,Inputs!$C$13,B6,0)))</f>
        <v/>
      </c>
      <c r="E9" s="10">
        <f>IF(D6&lt;=0,0,ABS(PMT(Inputs!$C$11,Inputs!$C$13,B6,0)))</f>
        <v/>
      </c>
      <c r="F9" s="10">
        <f>IF(E6&lt;=0,0,ABS(PMT(Inputs!$C$11,Inputs!$C$13,B6,0)))</f>
        <v/>
      </c>
      <c r="G9" s="10">
        <f>IF(F6&lt;=0,0,ABS(PMT(Inputs!$C$11,Inputs!$C$13,B6,0)))</f>
        <v/>
      </c>
      <c r="H9" s="10">
        <f>IF(G6&lt;=0,0,ABS(PMT(Inputs!$C$11,Inputs!$C$13,B6,0)))</f>
        <v/>
      </c>
      <c r="I9" s="10">
        <f>IF(H6&lt;=0,0,ABS(PMT(Inputs!$C$11,Inputs!$C$13,B6,0)))</f>
        <v/>
      </c>
      <c r="J9" s="10">
        <f>IF(I6&lt;=0,0,ABS(PMT(Inputs!$C$11,Inputs!$C$13,B6,0)))</f>
        <v/>
      </c>
      <c r="K9" s="10">
        <f>IF(J6&lt;=0,0,ABS(PMT(Inputs!$C$11,Inputs!$C$13,B6,0)))</f>
        <v/>
      </c>
      <c r="L9" s="10">
        <f>IF(K6&lt;=0,0,ABS(PMT(Inputs!$C$11,Inputs!$C$13,B6,0)))</f>
        <v/>
      </c>
      <c r="M9" s="10">
        <f>IF(L6&lt;=0,0,ABS(PMT(Inputs!$C$11,Inputs!$C$13,B6,0)))</f>
        <v/>
      </c>
      <c r="N9" s="10">
        <f>IF(M6&lt;=0,0,ABS(PMT(Inputs!$C$11,Inputs!$C$13,B6,0)))</f>
        <v/>
      </c>
      <c r="O9" s="10">
        <f>IF(N6&lt;=0,0,ABS(PMT(Inputs!$C$11,Inputs!$C$13,B6,0)))</f>
        <v/>
      </c>
      <c r="P9" s="10">
        <f>IF(O6&lt;=0,0,ABS(PMT(Inputs!$C$11,Inputs!$C$13,B6,0)))</f>
        <v/>
      </c>
      <c r="Q9" s="10">
        <f>IF(P6&lt;=0,0,ABS(PMT(Inputs!$C$11,Inputs!$C$13,B6,0)))</f>
        <v/>
      </c>
      <c r="R9" s="10">
        <f>IF(Q6&lt;=0,0,ABS(PMT(Inputs!$C$11,Inputs!$C$13,B6,0)))</f>
        <v/>
      </c>
      <c r="S9" s="10">
        <f>IF(R6&lt;=0,0,ABS(PMT(Inputs!$C$11,Inputs!$C$13,B6,0)))</f>
        <v/>
      </c>
      <c r="T9" s="10">
        <f>IF(S6&lt;=0,0,ABS(PMT(Inputs!$C$11,Inputs!$C$13,B6,0)))</f>
        <v/>
      </c>
      <c r="U9" s="10">
        <f>IF(T6&lt;=0,0,ABS(PMT(Inputs!$C$11,Inputs!$C$13,B6,0)))</f>
        <v/>
      </c>
      <c r="V9" s="10">
        <f>IF(U6&lt;=0,0,ABS(PMT(Inputs!$C$11,Inputs!$C$13,B6,0)))</f>
        <v/>
      </c>
      <c r="W9" s="10">
        <f>IF(V6&lt;=0,0,ABS(PMT(Inputs!$C$11,Inputs!$C$13,B6,0)))</f>
        <v/>
      </c>
      <c r="X9" s="10">
        <f>IF(W6&lt;=0,0,ABS(PMT(Inputs!$C$11,Inputs!$C$13,B6,0)))</f>
        <v/>
      </c>
      <c r="Y9" s="10">
        <f>IF(X6&lt;=0,0,ABS(PMT(Inputs!$C$11,Inputs!$C$13,B6,0)))</f>
        <v/>
      </c>
      <c r="Z9" s="10">
        <f>IF(Y6&lt;=0,0,ABS(PMT(Inputs!$C$11,Inputs!$C$13,B6,0)))</f>
        <v/>
      </c>
      <c r="AA9" s="10">
        <f>IF(Z6&lt;=0,0,ABS(PMT(Inputs!$C$11,Inputs!$C$13,B6,0)))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— No System ($)</t>
        </is>
      </c>
      <c r="B11" s="10" t="n">
        <v>0</v>
      </c>
      <c r="C11" s="15">
        <f>Inputs!C25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— With System ($)</t>
        </is>
      </c>
      <c r="B12" s="10" t="n">
        <v>0</v>
      </c>
      <c r="C12" s="15">
        <f>Inputs!D25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4" t="inlineStr">
        <is>
          <t>Incentive Savings — Annual ($)</t>
        </is>
      </c>
      <c r="B14" s="10" t="n">
        <v>0</v>
      </c>
      <c r="C14" s="15">
        <f>Inputs!$C$21</f>
        <v/>
      </c>
      <c r="D14" s="15">
        <f>Inputs!$C$21</f>
        <v/>
      </c>
      <c r="E14" s="15">
        <f>Inputs!$C$21</f>
        <v/>
      </c>
      <c r="F14" s="15">
        <f>Inputs!$C$21</f>
        <v/>
      </c>
      <c r="G14" s="15">
        <f>Inputs!$C$21</f>
        <v/>
      </c>
      <c r="H14" s="15">
        <f>Inputs!$C$21</f>
        <v/>
      </c>
      <c r="I14" s="15">
        <f>Inputs!$C$21</f>
        <v/>
      </c>
      <c r="J14" s="15">
        <f>Inputs!$C$21</f>
        <v/>
      </c>
      <c r="K14" s="15">
        <f>Inputs!$C$21</f>
        <v/>
      </c>
      <c r="L14" s="15">
        <f>Inputs!$C$21</f>
        <v/>
      </c>
      <c r="M14" s="15">
        <f>Inputs!$C$21</f>
        <v/>
      </c>
      <c r="N14" s="15">
        <f>Inputs!$C$21</f>
        <v/>
      </c>
      <c r="O14" s="15">
        <f>Inputs!$C$21</f>
        <v/>
      </c>
      <c r="P14" s="15">
        <f>Inputs!$C$21</f>
        <v/>
      </c>
      <c r="Q14" s="15">
        <f>Inputs!$C$21</f>
        <v/>
      </c>
      <c r="R14" s="15">
        <f>Inputs!$C$21</f>
        <v/>
      </c>
      <c r="S14" s="15">
        <f>Inputs!$C$21</f>
        <v/>
      </c>
      <c r="T14" s="15">
        <f>Inputs!$C$21</f>
        <v/>
      </c>
      <c r="U14" s="15">
        <f>Inputs!$C$21</f>
        <v/>
      </c>
      <c r="V14" s="15">
        <f>Inputs!$C$21</f>
        <v/>
      </c>
      <c r="W14" s="15">
        <f>Inputs!$C$21</f>
        <v/>
      </c>
      <c r="X14" s="15">
        <f>Inputs!$C$21</f>
        <v/>
      </c>
      <c r="Y14" s="15">
        <f>Inputs!$C$21</f>
        <v/>
      </c>
      <c r="Z14" s="15">
        <f>Inputs!$C$21</f>
        <v/>
      </c>
      <c r="AA14" s="15">
        <f>Inputs!$C$21</f>
        <v/>
      </c>
      <c r="AB14" s="10">
        <f>SUM(C14:AA14)</f>
        <v/>
      </c>
      <c r="AC14" s="10">
        <f>NPV(Inputs!$C$12,C14:AA14)</f>
        <v/>
      </c>
    </row>
    <row r="15">
      <c r="A15" s="16" t="inlineStr">
        <is>
          <t>Total Savings ($)</t>
        </is>
      </c>
      <c r="B15" s="10">
        <f>B13+B14</f>
        <v/>
      </c>
      <c r="C15" s="10">
        <f>C13+C14</f>
        <v/>
      </c>
      <c r="D15" s="10">
        <f>D13+D14</f>
        <v/>
      </c>
      <c r="E15" s="10">
        <f>E13+E14</f>
        <v/>
      </c>
      <c r="F15" s="10">
        <f>F13+F14</f>
        <v/>
      </c>
      <c r="G15" s="10">
        <f>G13+G14</f>
        <v/>
      </c>
      <c r="H15" s="10">
        <f>H13+H14</f>
        <v/>
      </c>
      <c r="I15" s="10">
        <f>I13+I14</f>
        <v/>
      </c>
      <c r="J15" s="10">
        <f>J13+J14</f>
        <v/>
      </c>
      <c r="K15" s="10">
        <f>K13+K14</f>
        <v/>
      </c>
      <c r="L15" s="10">
        <f>L13+L14</f>
        <v/>
      </c>
      <c r="M15" s="10">
        <f>M13+M14</f>
        <v/>
      </c>
      <c r="N15" s="10">
        <f>N13+N14</f>
        <v/>
      </c>
      <c r="O15" s="10">
        <f>O13+O14</f>
        <v/>
      </c>
      <c r="P15" s="10">
        <f>P13+P14</f>
        <v/>
      </c>
      <c r="Q15" s="10">
        <f>Q13+Q14</f>
        <v/>
      </c>
      <c r="R15" s="10">
        <f>R13+R14</f>
        <v/>
      </c>
      <c r="S15" s="10">
        <f>S13+S14</f>
        <v/>
      </c>
      <c r="T15" s="10">
        <f>T13+T14</f>
        <v/>
      </c>
      <c r="U15" s="10">
        <f>U13+U14</f>
        <v/>
      </c>
      <c r="V15" s="10">
        <f>V13+V14</f>
        <v/>
      </c>
      <c r="W15" s="10">
        <f>W13+W14</f>
        <v/>
      </c>
      <c r="X15" s="10">
        <f>X13+X14</f>
        <v/>
      </c>
      <c r="Y15" s="10">
        <f>Y13+Y14</f>
        <v/>
      </c>
      <c r="Z15" s="10">
        <f>Z13+Z14</f>
        <v/>
      </c>
      <c r="AA15" s="10">
        <f>AA13+AA14</f>
        <v/>
      </c>
      <c r="AB15" s="10">
        <f>SUM(C15:AA15)</f>
        <v/>
      </c>
      <c r="AC15" s="10">
        <f>NPV(Inputs!$C$12,C15:AA15)</f>
        <v/>
      </c>
    </row>
    <row r="16">
      <c r="A16" s="17" t="inlineStr">
        <is>
          <t>Net Savings ($)</t>
        </is>
      </c>
      <c r="B16" s="18">
        <f>B15-B9</f>
        <v/>
      </c>
      <c r="C16" s="18">
        <f>C15-C9</f>
        <v/>
      </c>
      <c r="D16" s="18">
        <f>D15-D9</f>
        <v/>
      </c>
      <c r="E16" s="18">
        <f>E15-E9</f>
        <v/>
      </c>
      <c r="F16" s="18">
        <f>F15-F9</f>
        <v/>
      </c>
      <c r="G16" s="18">
        <f>G15-G9</f>
        <v/>
      </c>
      <c r="H16" s="18">
        <f>H15-H9</f>
        <v/>
      </c>
      <c r="I16" s="18">
        <f>I15-I9</f>
        <v/>
      </c>
      <c r="J16" s="18">
        <f>J15-J9</f>
        <v/>
      </c>
      <c r="K16" s="18">
        <f>K15-K9</f>
        <v/>
      </c>
      <c r="L16" s="18">
        <f>L15-L9</f>
        <v/>
      </c>
      <c r="M16" s="18">
        <f>M15-M9</f>
        <v/>
      </c>
      <c r="N16" s="18">
        <f>N15-N9</f>
        <v/>
      </c>
      <c r="O16" s="18">
        <f>O15-O9</f>
        <v/>
      </c>
      <c r="P16" s="18">
        <f>P15-P9</f>
        <v/>
      </c>
      <c r="Q16" s="18">
        <f>Q15-Q9</f>
        <v/>
      </c>
      <c r="R16" s="18">
        <f>R15-R9</f>
        <v/>
      </c>
      <c r="S16" s="18">
        <f>S15-S9</f>
        <v/>
      </c>
      <c r="T16" s="18">
        <f>T15-T9</f>
        <v/>
      </c>
      <c r="U16" s="18">
        <f>U15-U9</f>
        <v/>
      </c>
      <c r="V16" s="18">
        <f>V15-V9</f>
        <v/>
      </c>
      <c r="W16" s="18">
        <f>W15-W9</f>
        <v/>
      </c>
      <c r="X16" s="18">
        <f>X15-X9</f>
        <v/>
      </c>
      <c r="Y16" s="18">
        <f>Y15-Y9</f>
        <v/>
      </c>
      <c r="Z16" s="18">
        <f>Z15-Z9</f>
        <v/>
      </c>
      <c r="AA16" s="18">
        <f>AA15-AA9</f>
        <v/>
      </c>
      <c r="AB16" s="18">
        <f>SUM(C16:AA16)</f>
        <v/>
      </c>
      <c r="AC16" s="18">
        <f>NPV(Inputs!$C$12,C16:AA16)</f>
        <v/>
      </c>
    </row>
    <row r="19" ht="16" customHeight="1">
      <c r="A19" s="3" t="inlineStr">
        <is>
          <t>Scenario 2: State Incentives Only (No FedITC)</t>
        </is>
      </c>
    </row>
    <row r="20">
      <c r="A20" s="13" t="inlineStr">
        <is>
          <t>Year</t>
        </is>
      </c>
      <c r="B20" s="14" t="n">
        <v>0</v>
      </c>
      <c r="C20" s="14" t="n">
        <v>1</v>
      </c>
      <c r="D20" s="14" t="n">
        <v>2</v>
      </c>
      <c r="E20" s="14" t="n">
        <v>3</v>
      </c>
      <c r="F20" s="14" t="n">
        <v>4</v>
      </c>
      <c r="G20" s="14" t="n">
        <v>5</v>
      </c>
      <c r="H20" s="14" t="n">
        <v>6</v>
      </c>
      <c r="I20" s="14" t="n">
        <v>7</v>
      </c>
      <c r="J20" s="14" t="n">
        <v>8</v>
      </c>
      <c r="K20" s="14" t="n">
        <v>9</v>
      </c>
      <c r="L20" s="14" t="n">
        <v>10</v>
      </c>
      <c r="M20" s="14" t="n">
        <v>11</v>
      </c>
      <c r="N20" s="14" t="n">
        <v>12</v>
      </c>
      <c r="O20" s="14" t="n">
        <v>13</v>
      </c>
      <c r="P20" s="14" t="n">
        <v>14</v>
      </c>
      <c r="Q20" s="14" t="n">
        <v>15</v>
      </c>
      <c r="R20" s="14" t="n">
        <v>16</v>
      </c>
      <c r="S20" s="14" t="n">
        <v>17</v>
      </c>
      <c r="T20" s="14" t="n">
        <v>18</v>
      </c>
      <c r="U20" s="14" t="n">
        <v>19</v>
      </c>
      <c r="V20" s="14" t="n">
        <v>20</v>
      </c>
      <c r="W20" s="14" t="n">
        <v>21</v>
      </c>
      <c r="X20" s="14" t="n">
        <v>22</v>
      </c>
      <c r="Y20" s="14" t="n">
        <v>23</v>
      </c>
      <c r="Z20" s="14" t="n">
        <v>24</v>
      </c>
      <c r="AA20" s="14" t="n">
        <v>25</v>
      </c>
      <c r="AB20" s="13" t="inlineStr">
        <is>
          <t>25yr Total</t>
        </is>
      </c>
      <c r="AC20" s="13" t="inlineStr">
        <is>
          <t>25yr NPV</t>
        </is>
      </c>
    </row>
    <row r="21">
      <c r="A21" s="4" t="inlineStr">
        <is>
          <t>Debt Balance ($)</t>
        </is>
      </c>
      <c r="B21" s="15">
        <f>Inputs!C5-Inputs!C20</f>
        <v/>
      </c>
      <c r="C21" s="10">
        <f>MAX(0,B21-C23)</f>
        <v/>
      </c>
      <c r="D21" s="10">
        <f>MAX(0,C21-D23)</f>
        <v/>
      </c>
      <c r="E21" s="10">
        <f>MAX(0,D21-E23)</f>
        <v/>
      </c>
      <c r="F21" s="10">
        <f>MAX(0,E21-F23)</f>
        <v/>
      </c>
      <c r="G21" s="10">
        <f>MAX(0,F21-G23)</f>
        <v/>
      </c>
      <c r="H21" s="10">
        <f>MAX(0,G21-H23)</f>
        <v/>
      </c>
      <c r="I21" s="10">
        <f>MAX(0,H21-I23)</f>
        <v/>
      </c>
      <c r="J21" s="10">
        <f>MAX(0,I21-J23)</f>
        <v/>
      </c>
      <c r="K21" s="10">
        <f>MAX(0,J21-K23)</f>
        <v/>
      </c>
      <c r="L21" s="10">
        <f>MAX(0,K21-L23)</f>
        <v/>
      </c>
      <c r="M21" s="10">
        <f>MAX(0,L21-M23)</f>
        <v/>
      </c>
      <c r="N21" s="10">
        <f>MAX(0,M21-N23)</f>
        <v/>
      </c>
      <c r="O21" s="10">
        <f>MAX(0,N21-O23)</f>
        <v/>
      </c>
      <c r="P21" s="10">
        <f>MAX(0,O21-P23)</f>
        <v/>
      </c>
      <c r="Q21" s="10">
        <f>MAX(0,P21-Q23)</f>
        <v/>
      </c>
      <c r="R21" s="10">
        <f>MAX(0,Q21-R23)</f>
        <v/>
      </c>
      <c r="S21" s="10">
        <f>MAX(0,R21-S23)</f>
        <v/>
      </c>
      <c r="T21" s="10">
        <f>MAX(0,S21-T23)</f>
        <v/>
      </c>
      <c r="U21" s="10">
        <f>MAX(0,T21-U23)</f>
        <v/>
      </c>
      <c r="V21" s="10">
        <f>MAX(0,U21-V23)</f>
        <v/>
      </c>
      <c r="W21" s="10">
        <f>MAX(0,V21-W23)</f>
        <v/>
      </c>
      <c r="X21" s="10">
        <f>MAX(0,W21-X23)</f>
        <v/>
      </c>
      <c r="Y21" s="10">
        <f>MAX(0,X21-Y23)</f>
        <v/>
      </c>
      <c r="Z21" s="10">
        <f>MAX(0,Y21-Z23)</f>
        <v/>
      </c>
      <c r="AA21" s="10">
        <f>MAX(0,Z21-AA23)</f>
        <v/>
      </c>
    </row>
    <row r="22">
      <c r="A22" s="4" t="inlineStr">
        <is>
          <t>Interest Payment ($)</t>
        </is>
      </c>
      <c r="B22" s="10" t="n">
        <v>0</v>
      </c>
      <c r="C22" s="10">
        <f>IF(B21&lt;=0,0,B21*Inputs!$C$11)</f>
        <v/>
      </c>
      <c r="D22" s="10">
        <f>IF(C21&lt;=0,0,C21*Inputs!$C$11)</f>
        <v/>
      </c>
      <c r="E22" s="10">
        <f>IF(D21&lt;=0,0,D21*Inputs!$C$11)</f>
        <v/>
      </c>
      <c r="F22" s="10">
        <f>IF(E21&lt;=0,0,E21*Inputs!$C$11)</f>
        <v/>
      </c>
      <c r="G22" s="10">
        <f>IF(F21&lt;=0,0,F21*Inputs!$C$11)</f>
        <v/>
      </c>
      <c r="H22" s="10">
        <f>IF(G21&lt;=0,0,G21*Inputs!$C$11)</f>
        <v/>
      </c>
      <c r="I22" s="10">
        <f>IF(H21&lt;=0,0,H21*Inputs!$C$11)</f>
        <v/>
      </c>
      <c r="J22" s="10">
        <f>IF(I21&lt;=0,0,I21*Inputs!$C$11)</f>
        <v/>
      </c>
      <c r="K22" s="10">
        <f>IF(J21&lt;=0,0,J21*Inputs!$C$11)</f>
        <v/>
      </c>
      <c r="L22" s="10">
        <f>IF(K21&lt;=0,0,K21*Inputs!$C$11)</f>
        <v/>
      </c>
      <c r="M22" s="10">
        <f>IF(L21&lt;=0,0,L21*Inputs!$C$11)</f>
        <v/>
      </c>
      <c r="N22" s="10">
        <f>IF(M21&lt;=0,0,M21*Inputs!$C$11)</f>
        <v/>
      </c>
      <c r="O22" s="10">
        <f>IF(N21&lt;=0,0,N21*Inputs!$C$11)</f>
        <v/>
      </c>
      <c r="P22" s="10">
        <f>IF(O21&lt;=0,0,O21*Inputs!$C$11)</f>
        <v/>
      </c>
      <c r="Q22" s="10">
        <f>IF(P21&lt;=0,0,P21*Inputs!$C$11)</f>
        <v/>
      </c>
      <c r="R22" s="10">
        <f>IF(Q21&lt;=0,0,Q21*Inputs!$C$11)</f>
        <v/>
      </c>
      <c r="S22" s="10">
        <f>IF(R21&lt;=0,0,R21*Inputs!$C$11)</f>
        <v/>
      </c>
      <c r="T22" s="10">
        <f>IF(S21&lt;=0,0,S21*Inputs!$C$11)</f>
        <v/>
      </c>
      <c r="U22" s="10">
        <f>IF(T21&lt;=0,0,T21*Inputs!$C$11)</f>
        <v/>
      </c>
      <c r="V22" s="10">
        <f>IF(U21&lt;=0,0,U21*Inputs!$C$11)</f>
        <v/>
      </c>
      <c r="W22" s="10">
        <f>IF(V21&lt;=0,0,V21*Inputs!$C$11)</f>
        <v/>
      </c>
      <c r="X22" s="10">
        <f>IF(W21&lt;=0,0,W21*Inputs!$C$11)</f>
        <v/>
      </c>
      <c r="Y22" s="10">
        <f>IF(X21&lt;=0,0,X21*Inputs!$C$11)</f>
        <v/>
      </c>
      <c r="Z22" s="10">
        <f>IF(Y21&lt;=0,0,Y21*Inputs!$C$11)</f>
        <v/>
      </c>
      <c r="AA22" s="10">
        <f>IF(Z21&lt;=0,0,Z21*Inputs!$C$11)</f>
        <v/>
      </c>
    </row>
    <row r="23">
      <c r="A23" s="4" t="inlineStr">
        <is>
          <t>Principal Payment ($)</t>
        </is>
      </c>
      <c r="B23" s="10" t="n">
        <v>0</v>
      </c>
      <c r="C23" s="10">
        <f>IF(B21&lt;=0,0,C24-C22)</f>
        <v/>
      </c>
      <c r="D23" s="10">
        <f>IF(B21&lt;=0,0,D24-D22)</f>
        <v/>
      </c>
      <c r="E23" s="10">
        <f>IF(B21&lt;=0,0,E24-E22)</f>
        <v/>
      </c>
      <c r="F23" s="10">
        <f>IF(B21&lt;=0,0,F24-F22)</f>
        <v/>
      </c>
      <c r="G23" s="10">
        <f>IF(B21&lt;=0,0,G24-G22)</f>
        <v/>
      </c>
      <c r="H23" s="10">
        <f>IF(B21&lt;=0,0,H24-H22)</f>
        <v/>
      </c>
      <c r="I23" s="10">
        <f>IF(B21&lt;=0,0,I24-I22)</f>
        <v/>
      </c>
      <c r="J23" s="10">
        <f>IF(B21&lt;=0,0,J24-J22)</f>
        <v/>
      </c>
      <c r="K23" s="10">
        <f>IF(B21&lt;=0,0,K24-K22)</f>
        <v/>
      </c>
      <c r="L23" s="10">
        <f>IF(B21&lt;=0,0,L24-L22)</f>
        <v/>
      </c>
      <c r="M23" s="10">
        <f>IF(B21&lt;=0,0,M24-M22)</f>
        <v/>
      </c>
      <c r="N23" s="10">
        <f>IF(B21&lt;=0,0,N24-N22)</f>
        <v/>
      </c>
      <c r="O23" s="10">
        <f>IF(B21&lt;=0,0,O24-O22)</f>
        <v/>
      </c>
      <c r="P23" s="10">
        <f>IF(B21&lt;=0,0,P24-P22)</f>
        <v/>
      </c>
      <c r="Q23" s="10">
        <f>IF(B21&lt;=0,0,Q24-Q22)</f>
        <v/>
      </c>
      <c r="R23" s="10">
        <f>IF(B21&lt;=0,0,R24-R22)</f>
        <v/>
      </c>
      <c r="S23" s="10">
        <f>IF(B21&lt;=0,0,S24-S22)</f>
        <v/>
      </c>
      <c r="T23" s="10">
        <f>IF(B21&lt;=0,0,T24-T22)</f>
        <v/>
      </c>
      <c r="U23" s="10">
        <f>IF(B21&lt;=0,0,U24-U22)</f>
        <v/>
      </c>
      <c r="V23" s="10">
        <f>IF(B21&lt;=0,0,V24-V22)</f>
        <v/>
      </c>
      <c r="W23" s="10">
        <f>IF(B21&lt;=0,0,W24-W22)</f>
        <v/>
      </c>
      <c r="X23" s="10">
        <f>IF(B21&lt;=0,0,X24-X22)</f>
        <v/>
      </c>
      <c r="Y23" s="10">
        <f>IF(B21&lt;=0,0,Y24-Y22)</f>
        <v/>
      </c>
      <c r="Z23" s="10">
        <f>IF(B21&lt;=0,0,Z24-Z22)</f>
        <v/>
      </c>
      <c r="AA23" s="10">
        <f>IF(B21&lt;=0,0,AA24-AA22)</f>
        <v/>
      </c>
    </row>
    <row r="24">
      <c r="A24" s="16" t="inlineStr">
        <is>
          <t>Total Payment — P&amp;I ($)</t>
        </is>
      </c>
      <c r="B24" s="10" t="n">
        <v>0</v>
      </c>
      <c r="C24" s="10">
        <f>IF(B21&lt;=0,0,ABS(PMT(Inputs!$C$11,Inputs!$C$13,B21,0)))</f>
        <v/>
      </c>
      <c r="D24" s="10">
        <f>IF(C21&lt;=0,0,ABS(PMT(Inputs!$C$11,Inputs!$C$13,B21,0)))</f>
        <v/>
      </c>
      <c r="E24" s="10">
        <f>IF(D21&lt;=0,0,ABS(PMT(Inputs!$C$11,Inputs!$C$13,B21,0)))</f>
        <v/>
      </c>
      <c r="F24" s="10">
        <f>IF(E21&lt;=0,0,ABS(PMT(Inputs!$C$11,Inputs!$C$13,B21,0)))</f>
        <v/>
      </c>
      <c r="G24" s="10">
        <f>IF(F21&lt;=0,0,ABS(PMT(Inputs!$C$11,Inputs!$C$13,B21,0)))</f>
        <v/>
      </c>
      <c r="H24" s="10">
        <f>IF(G21&lt;=0,0,ABS(PMT(Inputs!$C$11,Inputs!$C$13,B21,0)))</f>
        <v/>
      </c>
      <c r="I24" s="10">
        <f>IF(H21&lt;=0,0,ABS(PMT(Inputs!$C$11,Inputs!$C$13,B21,0)))</f>
        <v/>
      </c>
      <c r="J24" s="10">
        <f>IF(I21&lt;=0,0,ABS(PMT(Inputs!$C$11,Inputs!$C$13,B21,0)))</f>
        <v/>
      </c>
      <c r="K24" s="10">
        <f>IF(J21&lt;=0,0,ABS(PMT(Inputs!$C$11,Inputs!$C$13,B21,0)))</f>
        <v/>
      </c>
      <c r="L24" s="10">
        <f>IF(K21&lt;=0,0,ABS(PMT(Inputs!$C$11,Inputs!$C$13,B21,0)))</f>
        <v/>
      </c>
      <c r="M24" s="10">
        <f>IF(L21&lt;=0,0,ABS(PMT(Inputs!$C$11,Inputs!$C$13,B21,0)))</f>
        <v/>
      </c>
      <c r="N24" s="10">
        <f>IF(M21&lt;=0,0,ABS(PMT(Inputs!$C$11,Inputs!$C$13,B21,0)))</f>
        <v/>
      </c>
      <c r="O24" s="10">
        <f>IF(N21&lt;=0,0,ABS(PMT(Inputs!$C$11,Inputs!$C$13,B21,0)))</f>
        <v/>
      </c>
      <c r="P24" s="10">
        <f>IF(O21&lt;=0,0,ABS(PMT(Inputs!$C$11,Inputs!$C$13,B21,0)))</f>
        <v/>
      </c>
      <c r="Q24" s="10">
        <f>IF(P21&lt;=0,0,ABS(PMT(Inputs!$C$11,Inputs!$C$13,B21,0)))</f>
        <v/>
      </c>
      <c r="R24" s="10">
        <f>IF(Q21&lt;=0,0,ABS(PMT(Inputs!$C$11,Inputs!$C$13,B21,0)))</f>
        <v/>
      </c>
      <c r="S24" s="10">
        <f>IF(R21&lt;=0,0,ABS(PMT(Inputs!$C$11,Inputs!$C$13,B21,0)))</f>
        <v/>
      </c>
      <c r="T24" s="10">
        <f>IF(S21&lt;=0,0,ABS(PMT(Inputs!$C$11,Inputs!$C$13,B21,0)))</f>
        <v/>
      </c>
      <c r="U24" s="10">
        <f>IF(T21&lt;=0,0,ABS(PMT(Inputs!$C$11,Inputs!$C$13,B21,0)))</f>
        <v/>
      </c>
      <c r="V24" s="10">
        <f>IF(U21&lt;=0,0,ABS(PMT(Inputs!$C$11,Inputs!$C$13,B21,0)))</f>
        <v/>
      </c>
      <c r="W24" s="10">
        <f>IF(V21&lt;=0,0,ABS(PMT(Inputs!$C$11,Inputs!$C$13,B21,0)))</f>
        <v/>
      </c>
      <c r="X24" s="10">
        <f>IF(W21&lt;=0,0,ABS(PMT(Inputs!$C$11,Inputs!$C$13,B21,0)))</f>
        <v/>
      </c>
      <c r="Y24" s="10">
        <f>IF(X21&lt;=0,0,ABS(PMT(Inputs!$C$11,Inputs!$C$13,B21,0)))</f>
        <v/>
      </c>
      <c r="Z24" s="10">
        <f>IF(Y21&lt;=0,0,ABS(PMT(Inputs!$C$11,Inputs!$C$13,B21,0)))</f>
        <v/>
      </c>
      <c r="AA24" s="10">
        <f>IF(Z21&lt;=0,0,ABS(PMT(Inputs!$C$11,Inputs!$C$13,B21,0)))</f>
        <v/>
      </c>
      <c r="AB24" s="10">
        <f>SUM(C24:AA24)</f>
        <v/>
      </c>
      <c r="AC24" s="10">
        <f>NPV(Inputs!$C$12,C24:AA24)</f>
        <v/>
      </c>
    </row>
    <row r="26">
      <c r="A26" s="4" t="inlineStr">
        <is>
          <t>Elec. Bill — No System ($)</t>
        </is>
      </c>
      <c r="B26" s="10" t="n">
        <v>0</v>
      </c>
      <c r="C26" s="15">
        <f>Inputs!C25</f>
        <v/>
      </c>
      <c r="D26" s="10">
        <f>C26*(1+Inputs!$C$14)</f>
        <v/>
      </c>
      <c r="E26" s="10">
        <f>D26*(1+Inputs!$C$14)</f>
        <v/>
      </c>
      <c r="F26" s="10">
        <f>E26*(1+Inputs!$C$14)</f>
        <v/>
      </c>
      <c r="G26" s="10">
        <f>F26*(1+Inputs!$C$14)</f>
        <v/>
      </c>
      <c r="H26" s="10">
        <f>G26*(1+Inputs!$C$14)</f>
        <v/>
      </c>
      <c r="I26" s="10">
        <f>H26*(1+Inputs!$C$14)</f>
        <v/>
      </c>
      <c r="J26" s="10">
        <f>I26*(1+Inputs!$C$14)</f>
        <v/>
      </c>
      <c r="K26" s="10">
        <f>J26*(1+Inputs!$C$14)</f>
        <v/>
      </c>
      <c r="L26" s="10">
        <f>K26*(1+Inputs!$C$14)</f>
        <v/>
      </c>
      <c r="M26" s="10">
        <f>L26*(1+Inputs!$C$14)</f>
        <v/>
      </c>
      <c r="N26" s="10">
        <f>M26*(1+Inputs!$C$14)</f>
        <v/>
      </c>
      <c r="O26" s="10">
        <f>N26*(1+Inputs!$C$14)</f>
        <v/>
      </c>
      <c r="P26" s="10">
        <f>O26*(1+Inputs!$C$14)</f>
        <v/>
      </c>
      <c r="Q26" s="10">
        <f>P26*(1+Inputs!$C$14)</f>
        <v/>
      </c>
      <c r="R26" s="10">
        <f>Q26*(1+Inputs!$C$14)</f>
        <v/>
      </c>
      <c r="S26" s="10">
        <f>R26*(1+Inputs!$C$14)</f>
        <v/>
      </c>
      <c r="T26" s="10">
        <f>S26*(1+Inputs!$C$14)</f>
        <v/>
      </c>
      <c r="U26" s="10">
        <f>T26*(1+Inputs!$C$14)</f>
        <v/>
      </c>
      <c r="V26" s="10">
        <f>U26*(1+Inputs!$C$14)</f>
        <v/>
      </c>
      <c r="W26" s="10">
        <f>V26*(1+Inputs!$C$14)</f>
        <v/>
      </c>
      <c r="X26" s="10">
        <f>W26*(1+Inputs!$C$14)</f>
        <v/>
      </c>
      <c r="Y26" s="10">
        <f>X26*(1+Inputs!$C$14)</f>
        <v/>
      </c>
      <c r="Z26" s="10">
        <f>Y26*(1+Inputs!$C$14)</f>
        <v/>
      </c>
      <c r="AA26" s="10">
        <f>Z26*(1+Inputs!$C$14)</f>
        <v/>
      </c>
    </row>
    <row r="27">
      <c r="A27" s="4" t="inlineStr">
        <is>
          <t>Elec. Bill — With System ($)</t>
        </is>
      </c>
      <c r="B27" s="10" t="n">
        <v>0</v>
      </c>
      <c r="C27" s="15">
        <f>Inputs!D25</f>
        <v/>
      </c>
      <c r="D27" s="10">
        <f>C27*(1+Inputs!$C$14)</f>
        <v/>
      </c>
      <c r="E27" s="10">
        <f>D27*(1+Inputs!$C$14)</f>
        <v/>
      </c>
      <c r="F27" s="10">
        <f>E27*(1+Inputs!$C$14)</f>
        <v/>
      </c>
      <c r="G27" s="10">
        <f>F27*(1+Inputs!$C$14)</f>
        <v/>
      </c>
      <c r="H27" s="10">
        <f>G27*(1+Inputs!$C$14)</f>
        <v/>
      </c>
      <c r="I27" s="10">
        <f>H27*(1+Inputs!$C$14)</f>
        <v/>
      </c>
      <c r="J27" s="10">
        <f>I27*(1+Inputs!$C$14)</f>
        <v/>
      </c>
      <c r="K27" s="10">
        <f>J27*(1+Inputs!$C$14)</f>
        <v/>
      </c>
      <c r="L27" s="10">
        <f>K27*(1+Inputs!$C$14)</f>
        <v/>
      </c>
      <c r="M27" s="10">
        <f>L27*(1+Inputs!$C$14)</f>
        <v/>
      </c>
      <c r="N27" s="10">
        <f>M27*(1+Inputs!$C$14)</f>
        <v/>
      </c>
      <c r="O27" s="10">
        <f>N27*(1+Inputs!$C$14)</f>
        <v/>
      </c>
      <c r="P27" s="10">
        <f>O27*(1+Inputs!$C$14)</f>
        <v/>
      </c>
      <c r="Q27" s="10">
        <f>P27*(1+Inputs!$C$14)</f>
        <v/>
      </c>
      <c r="R27" s="10">
        <f>Q27*(1+Inputs!$C$14)</f>
        <v/>
      </c>
      <c r="S27" s="10">
        <f>R27*(1+Inputs!$C$14)</f>
        <v/>
      </c>
      <c r="T27" s="10">
        <f>S27*(1+Inputs!$C$14)</f>
        <v/>
      </c>
      <c r="U27" s="10">
        <f>T27*(1+Inputs!$C$14)</f>
        <v/>
      </c>
      <c r="V27" s="10">
        <f>U27*(1+Inputs!$C$14)</f>
        <v/>
      </c>
      <c r="W27" s="10">
        <f>V27*(1+Inputs!$C$14)</f>
        <v/>
      </c>
      <c r="X27" s="10">
        <f>W27*(1+Inputs!$C$14)</f>
        <v/>
      </c>
      <c r="Y27" s="10">
        <f>X27*(1+Inputs!$C$14)</f>
        <v/>
      </c>
      <c r="Z27" s="10">
        <f>Y27*(1+Inputs!$C$14)</f>
        <v/>
      </c>
      <c r="AA27" s="10">
        <f>Z27*(1+Inputs!$C$14)</f>
        <v/>
      </c>
    </row>
    <row r="28">
      <c r="A28" s="4" t="inlineStr">
        <is>
          <t>Bill Savings ($)</t>
        </is>
      </c>
      <c r="B28" s="10" t="n">
        <v>0</v>
      </c>
      <c r="C28" s="10">
        <f>C26-C27</f>
        <v/>
      </c>
      <c r="D28" s="10">
        <f>D26-D27</f>
        <v/>
      </c>
      <c r="E28" s="10">
        <f>E26-E27</f>
        <v/>
      </c>
      <c r="F28" s="10">
        <f>F26-F27</f>
        <v/>
      </c>
      <c r="G28" s="10">
        <f>G26-G27</f>
        <v/>
      </c>
      <c r="H28" s="10">
        <f>H26-H27</f>
        <v/>
      </c>
      <c r="I28" s="10">
        <f>I26-I27</f>
        <v/>
      </c>
      <c r="J28" s="10">
        <f>J26-J27</f>
        <v/>
      </c>
      <c r="K28" s="10">
        <f>K26-K27</f>
        <v/>
      </c>
      <c r="L28" s="10">
        <f>L26-L27</f>
        <v/>
      </c>
      <c r="M28" s="10">
        <f>M26-M27</f>
        <v/>
      </c>
      <c r="N28" s="10">
        <f>N26-N27</f>
        <v/>
      </c>
      <c r="O28" s="10">
        <f>O26-O27</f>
        <v/>
      </c>
      <c r="P28" s="10">
        <f>P26-P27</f>
        <v/>
      </c>
      <c r="Q28" s="10">
        <f>Q26-Q27</f>
        <v/>
      </c>
      <c r="R28" s="10">
        <f>R26-R27</f>
        <v/>
      </c>
      <c r="S28" s="10">
        <f>S26-S27</f>
        <v/>
      </c>
      <c r="T28" s="10">
        <f>T26-T27</f>
        <v/>
      </c>
      <c r="U28" s="10">
        <f>U26-U27</f>
        <v/>
      </c>
      <c r="V28" s="10">
        <f>V26-V27</f>
        <v/>
      </c>
      <c r="W28" s="10">
        <f>W26-W27</f>
        <v/>
      </c>
      <c r="X28" s="10">
        <f>X26-X27</f>
        <v/>
      </c>
      <c r="Y28" s="10">
        <f>Y26-Y27</f>
        <v/>
      </c>
      <c r="Z28" s="10">
        <f>Z26-Z27</f>
        <v/>
      </c>
      <c r="AA28" s="10">
        <f>AA26-AA27</f>
        <v/>
      </c>
      <c r="AB28" s="10">
        <f>SUM(C28:AA28)</f>
        <v/>
      </c>
      <c r="AC28" s="10">
        <f>NPV(Inputs!$C$12,C28:AA28)</f>
        <v/>
      </c>
    </row>
    <row r="29">
      <c r="A29" s="4" t="inlineStr">
        <is>
          <t>Incentive Savings — Annual ($)</t>
        </is>
      </c>
      <c r="B29" s="10" t="n">
        <v>0</v>
      </c>
      <c r="C29" s="15">
        <f>Inputs!$C$21</f>
        <v/>
      </c>
      <c r="D29" s="15">
        <f>Inputs!$C$21</f>
        <v/>
      </c>
      <c r="E29" s="15">
        <f>Inputs!$C$21</f>
        <v/>
      </c>
      <c r="F29" s="15">
        <f>Inputs!$C$21</f>
        <v/>
      </c>
      <c r="G29" s="15">
        <f>Inputs!$C$21</f>
        <v/>
      </c>
      <c r="H29" s="15">
        <f>Inputs!$C$21</f>
        <v/>
      </c>
      <c r="I29" s="15">
        <f>Inputs!$C$21</f>
        <v/>
      </c>
      <c r="J29" s="15">
        <f>Inputs!$C$21</f>
        <v/>
      </c>
      <c r="K29" s="15">
        <f>Inputs!$C$21</f>
        <v/>
      </c>
      <c r="L29" s="15">
        <f>Inputs!$C$21</f>
        <v/>
      </c>
      <c r="M29" s="15">
        <f>Inputs!$C$21</f>
        <v/>
      </c>
      <c r="N29" s="15">
        <f>Inputs!$C$21</f>
        <v/>
      </c>
      <c r="O29" s="15">
        <f>Inputs!$C$21</f>
        <v/>
      </c>
      <c r="P29" s="15">
        <f>Inputs!$C$21</f>
        <v/>
      </c>
      <c r="Q29" s="15">
        <f>Inputs!$C$21</f>
        <v/>
      </c>
      <c r="R29" s="15">
        <f>Inputs!$C$21</f>
        <v/>
      </c>
      <c r="S29" s="15">
        <f>Inputs!$C$21</f>
        <v/>
      </c>
      <c r="T29" s="15">
        <f>Inputs!$C$21</f>
        <v/>
      </c>
      <c r="U29" s="15">
        <f>Inputs!$C$21</f>
        <v/>
      </c>
      <c r="V29" s="15">
        <f>Inputs!$C$21</f>
        <v/>
      </c>
      <c r="W29" s="15">
        <f>Inputs!$C$21</f>
        <v/>
      </c>
      <c r="X29" s="15">
        <f>Inputs!$C$21</f>
        <v/>
      </c>
      <c r="Y29" s="15">
        <f>Inputs!$C$21</f>
        <v/>
      </c>
      <c r="Z29" s="15">
        <f>Inputs!$C$21</f>
        <v/>
      </c>
      <c r="AA29" s="15">
        <f>Inputs!$C$21</f>
        <v/>
      </c>
      <c r="AB29" s="10">
        <f>SUM(C29:AA29)</f>
        <v/>
      </c>
      <c r="AC29" s="10">
        <f>NPV(Inputs!$C$12,C29:AA29)</f>
        <v/>
      </c>
    </row>
    <row r="30">
      <c r="A30" s="16" t="inlineStr">
        <is>
          <t>Total Savings ($)</t>
        </is>
      </c>
      <c r="B30" s="10">
        <f>B28+B29</f>
        <v/>
      </c>
      <c r="C30" s="10">
        <f>C28+C29</f>
        <v/>
      </c>
      <c r="D30" s="10">
        <f>D28+D29</f>
        <v/>
      </c>
      <c r="E30" s="10">
        <f>E28+E29</f>
        <v/>
      </c>
      <c r="F30" s="10">
        <f>F28+F29</f>
        <v/>
      </c>
      <c r="G30" s="10">
        <f>G28+G29</f>
        <v/>
      </c>
      <c r="H30" s="10">
        <f>H28+H29</f>
        <v/>
      </c>
      <c r="I30" s="10">
        <f>I28+I29</f>
        <v/>
      </c>
      <c r="J30" s="10">
        <f>J28+J29</f>
        <v/>
      </c>
      <c r="K30" s="10">
        <f>K28+K29</f>
        <v/>
      </c>
      <c r="L30" s="10">
        <f>L28+L29</f>
        <v/>
      </c>
      <c r="M30" s="10">
        <f>M28+M29</f>
        <v/>
      </c>
      <c r="N30" s="10">
        <f>N28+N29</f>
        <v/>
      </c>
      <c r="O30" s="10">
        <f>O28+O29</f>
        <v/>
      </c>
      <c r="P30" s="10">
        <f>P28+P29</f>
        <v/>
      </c>
      <c r="Q30" s="10">
        <f>Q28+Q29</f>
        <v/>
      </c>
      <c r="R30" s="10">
        <f>R28+R29</f>
        <v/>
      </c>
      <c r="S30" s="10">
        <f>S28+S29</f>
        <v/>
      </c>
      <c r="T30" s="10">
        <f>T28+T29</f>
        <v/>
      </c>
      <c r="U30" s="10">
        <f>U28+U29</f>
        <v/>
      </c>
      <c r="V30" s="10">
        <f>V28+V29</f>
        <v/>
      </c>
      <c r="W30" s="10">
        <f>W28+W29</f>
        <v/>
      </c>
      <c r="X30" s="10">
        <f>X28+X29</f>
        <v/>
      </c>
      <c r="Y30" s="10">
        <f>Y28+Y29</f>
        <v/>
      </c>
      <c r="Z30" s="10">
        <f>Z28+Z29</f>
        <v/>
      </c>
      <c r="AA30" s="10">
        <f>AA28+AA29</f>
        <v/>
      </c>
      <c r="AB30" s="10">
        <f>SUM(C30:AA30)</f>
        <v/>
      </c>
      <c r="AC30" s="10">
        <f>NPV(Inputs!$C$12,C30:AA30)</f>
        <v/>
      </c>
    </row>
    <row r="31">
      <c r="A31" s="17" t="inlineStr">
        <is>
          <t>Net Savings ($)</t>
        </is>
      </c>
      <c r="B31" s="18">
        <f>B30-B24</f>
        <v/>
      </c>
      <c r="C31" s="18">
        <f>C30-C24</f>
        <v/>
      </c>
      <c r="D31" s="18">
        <f>D30-D24</f>
        <v/>
      </c>
      <c r="E31" s="18">
        <f>E30-E24</f>
        <v/>
      </c>
      <c r="F31" s="18">
        <f>F30-F24</f>
        <v/>
      </c>
      <c r="G31" s="18">
        <f>G30-G24</f>
        <v/>
      </c>
      <c r="H31" s="18">
        <f>H30-H24</f>
        <v/>
      </c>
      <c r="I31" s="18">
        <f>I30-I24</f>
        <v/>
      </c>
      <c r="J31" s="18">
        <f>J30-J24</f>
        <v/>
      </c>
      <c r="K31" s="18">
        <f>K30-K24</f>
        <v/>
      </c>
      <c r="L31" s="18">
        <f>L30-L24</f>
        <v/>
      </c>
      <c r="M31" s="18">
        <f>M30-M24</f>
        <v/>
      </c>
      <c r="N31" s="18">
        <f>N30-N24</f>
        <v/>
      </c>
      <c r="O31" s="18">
        <f>O30-O24</f>
        <v/>
      </c>
      <c r="P31" s="18">
        <f>P30-P24</f>
        <v/>
      </c>
      <c r="Q31" s="18">
        <f>Q30-Q24</f>
        <v/>
      </c>
      <c r="R31" s="18">
        <f>R30-R24</f>
        <v/>
      </c>
      <c r="S31" s="18">
        <f>S30-S24</f>
        <v/>
      </c>
      <c r="T31" s="18">
        <f>T30-T24</f>
        <v/>
      </c>
      <c r="U31" s="18">
        <f>U30-U24</f>
        <v/>
      </c>
      <c r="V31" s="18">
        <f>V30-V24</f>
        <v/>
      </c>
      <c r="W31" s="18">
        <f>W30-W24</f>
        <v/>
      </c>
      <c r="X31" s="18">
        <f>X30-X24</f>
        <v/>
      </c>
      <c r="Y31" s="18">
        <f>Y30-Y24</f>
        <v/>
      </c>
      <c r="Z31" s="18">
        <f>Z30-Z24</f>
        <v/>
      </c>
      <c r="AA31" s="18">
        <f>AA30-AA24</f>
        <v/>
      </c>
      <c r="AB31" s="18">
        <f>SUM(C31:AA31)</f>
        <v/>
      </c>
      <c r="AC31" s="18">
        <f>NPV(Inputs!$C$12,C31:AA31)</f>
        <v/>
      </c>
    </row>
    <row r="34" ht="16" customHeight="1">
      <c r="A34" s="3" t="inlineStr">
        <is>
          <t>Scenario 3: No Incentives</t>
        </is>
      </c>
    </row>
    <row r="35">
      <c r="A35" s="13" t="inlineStr">
        <is>
          <t>Year</t>
        </is>
      </c>
      <c r="B35" s="14" t="n">
        <v>0</v>
      </c>
      <c r="C35" s="14" t="n">
        <v>1</v>
      </c>
      <c r="D35" s="14" t="n">
        <v>2</v>
      </c>
      <c r="E35" s="14" t="n">
        <v>3</v>
      </c>
      <c r="F35" s="14" t="n">
        <v>4</v>
      </c>
      <c r="G35" s="14" t="n">
        <v>5</v>
      </c>
      <c r="H35" s="14" t="n">
        <v>6</v>
      </c>
      <c r="I35" s="14" t="n">
        <v>7</v>
      </c>
      <c r="J35" s="14" t="n">
        <v>8</v>
      </c>
      <c r="K35" s="14" t="n">
        <v>9</v>
      </c>
      <c r="L35" s="14" t="n">
        <v>10</v>
      </c>
      <c r="M35" s="14" t="n">
        <v>11</v>
      </c>
      <c r="N35" s="14" t="n">
        <v>12</v>
      </c>
      <c r="O35" s="14" t="n">
        <v>13</v>
      </c>
      <c r="P35" s="14" t="n">
        <v>14</v>
      </c>
      <c r="Q35" s="14" t="n">
        <v>15</v>
      </c>
      <c r="R35" s="14" t="n">
        <v>16</v>
      </c>
      <c r="S35" s="14" t="n">
        <v>17</v>
      </c>
      <c r="T35" s="14" t="n">
        <v>18</v>
      </c>
      <c r="U35" s="14" t="n">
        <v>19</v>
      </c>
      <c r="V35" s="14" t="n">
        <v>20</v>
      </c>
      <c r="W35" s="14" t="n">
        <v>21</v>
      </c>
      <c r="X35" s="14" t="n">
        <v>22</v>
      </c>
      <c r="Y35" s="14" t="n">
        <v>23</v>
      </c>
      <c r="Z35" s="14" t="n">
        <v>24</v>
      </c>
      <c r="AA35" s="14" t="n">
        <v>25</v>
      </c>
      <c r="AB35" s="13" t="inlineStr">
        <is>
          <t>25yr Total</t>
        </is>
      </c>
      <c r="AC35" s="13" t="inlineStr">
        <is>
          <t>25yr NPV</t>
        </is>
      </c>
    </row>
    <row r="36">
      <c r="A36" s="4" t="inlineStr">
        <is>
          <t>Debt Balance ($)</t>
        </is>
      </c>
      <c r="B36" s="15">
        <f>Inputs!C5</f>
        <v/>
      </c>
      <c r="C36" s="10">
        <f>MAX(0,B36-C38)</f>
        <v/>
      </c>
      <c r="D36" s="10">
        <f>MAX(0,C36-D38)</f>
        <v/>
      </c>
      <c r="E36" s="10">
        <f>MAX(0,D36-E38)</f>
        <v/>
      </c>
      <c r="F36" s="10">
        <f>MAX(0,E36-F38)</f>
        <v/>
      </c>
      <c r="G36" s="10">
        <f>MAX(0,F36-G38)</f>
        <v/>
      </c>
      <c r="H36" s="10">
        <f>MAX(0,G36-H38)</f>
        <v/>
      </c>
      <c r="I36" s="10">
        <f>MAX(0,H36-I38)</f>
        <v/>
      </c>
      <c r="J36" s="10">
        <f>MAX(0,I36-J38)</f>
        <v/>
      </c>
      <c r="K36" s="10">
        <f>MAX(0,J36-K38)</f>
        <v/>
      </c>
      <c r="L36" s="10">
        <f>MAX(0,K36-L38)</f>
        <v/>
      </c>
      <c r="M36" s="10">
        <f>MAX(0,L36-M38)</f>
        <v/>
      </c>
      <c r="N36" s="10">
        <f>MAX(0,M36-N38)</f>
        <v/>
      </c>
      <c r="O36" s="10">
        <f>MAX(0,N36-O38)</f>
        <v/>
      </c>
      <c r="P36" s="10">
        <f>MAX(0,O36-P38)</f>
        <v/>
      </c>
      <c r="Q36" s="10">
        <f>MAX(0,P36-Q38)</f>
        <v/>
      </c>
      <c r="R36" s="10">
        <f>MAX(0,Q36-R38)</f>
        <v/>
      </c>
      <c r="S36" s="10">
        <f>MAX(0,R36-S38)</f>
        <v/>
      </c>
      <c r="T36" s="10">
        <f>MAX(0,S36-T38)</f>
        <v/>
      </c>
      <c r="U36" s="10">
        <f>MAX(0,T36-U38)</f>
        <v/>
      </c>
      <c r="V36" s="10">
        <f>MAX(0,U36-V38)</f>
        <v/>
      </c>
      <c r="W36" s="10">
        <f>MAX(0,V36-W38)</f>
        <v/>
      </c>
      <c r="X36" s="10">
        <f>MAX(0,W36-X38)</f>
        <v/>
      </c>
      <c r="Y36" s="10">
        <f>MAX(0,X36-Y38)</f>
        <v/>
      </c>
      <c r="Z36" s="10">
        <f>MAX(0,Y36-Z38)</f>
        <v/>
      </c>
      <c r="AA36" s="10">
        <f>MAX(0,Z36-AA38)</f>
        <v/>
      </c>
    </row>
    <row r="37">
      <c r="A37" s="4" t="inlineStr">
        <is>
          <t>Interest Payment ($)</t>
        </is>
      </c>
      <c r="B37" s="10" t="n">
        <v>0</v>
      </c>
      <c r="C37" s="10">
        <f>IF(B36&lt;=0,0,B36*Inputs!$C$11)</f>
        <v/>
      </c>
      <c r="D37" s="10">
        <f>IF(C36&lt;=0,0,C36*Inputs!$C$11)</f>
        <v/>
      </c>
      <c r="E37" s="10">
        <f>IF(D36&lt;=0,0,D36*Inputs!$C$11)</f>
        <v/>
      </c>
      <c r="F37" s="10">
        <f>IF(E36&lt;=0,0,E36*Inputs!$C$11)</f>
        <v/>
      </c>
      <c r="G37" s="10">
        <f>IF(F36&lt;=0,0,F36*Inputs!$C$11)</f>
        <v/>
      </c>
      <c r="H37" s="10">
        <f>IF(G36&lt;=0,0,G36*Inputs!$C$11)</f>
        <v/>
      </c>
      <c r="I37" s="10">
        <f>IF(H36&lt;=0,0,H36*Inputs!$C$11)</f>
        <v/>
      </c>
      <c r="J37" s="10">
        <f>IF(I36&lt;=0,0,I36*Inputs!$C$11)</f>
        <v/>
      </c>
      <c r="K37" s="10">
        <f>IF(J36&lt;=0,0,J36*Inputs!$C$11)</f>
        <v/>
      </c>
      <c r="L37" s="10">
        <f>IF(K36&lt;=0,0,K36*Inputs!$C$11)</f>
        <v/>
      </c>
      <c r="M37" s="10">
        <f>IF(L36&lt;=0,0,L36*Inputs!$C$11)</f>
        <v/>
      </c>
      <c r="N37" s="10">
        <f>IF(M36&lt;=0,0,M36*Inputs!$C$11)</f>
        <v/>
      </c>
      <c r="O37" s="10">
        <f>IF(N36&lt;=0,0,N36*Inputs!$C$11)</f>
        <v/>
      </c>
      <c r="P37" s="10">
        <f>IF(O36&lt;=0,0,O36*Inputs!$C$11)</f>
        <v/>
      </c>
      <c r="Q37" s="10">
        <f>IF(P36&lt;=0,0,P36*Inputs!$C$11)</f>
        <v/>
      </c>
      <c r="R37" s="10">
        <f>IF(Q36&lt;=0,0,Q36*Inputs!$C$11)</f>
        <v/>
      </c>
      <c r="S37" s="10">
        <f>IF(R36&lt;=0,0,R36*Inputs!$C$11)</f>
        <v/>
      </c>
      <c r="T37" s="10">
        <f>IF(S36&lt;=0,0,S36*Inputs!$C$11)</f>
        <v/>
      </c>
      <c r="U37" s="10">
        <f>IF(T36&lt;=0,0,T36*Inputs!$C$11)</f>
        <v/>
      </c>
      <c r="V37" s="10">
        <f>IF(U36&lt;=0,0,U36*Inputs!$C$11)</f>
        <v/>
      </c>
      <c r="W37" s="10">
        <f>IF(V36&lt;=0,0,V36*Inputs!$C$11)</f>
        <v/>
      </c>
      <c r="X37" s="10">
        <f>IF(W36&lt;=0,0,W36*Inputs!$C$11)</f>
        <v/>
      </c>
      <c r="Y37" s="10">
        <f>IF(X36&lt;=0,0,X36*Inputs!$C$11)</f>
        <v/>
      </c>
      <c r="Z37" s="10">
        <f>IF(Y36&lt;=0,0,Y36*Inputs!$C$11)</f>
        <v/>
      </c>
      <c r="AA37" s="10">
        <f>IF(Z36&lt;=0,0,Z36*Inputs!$C$11)</f>
        <v/>
      </c>
    </row>
    <row r="38">
      <c r="A38" s="4" t="inlineStr">
        <is>
          <t>Principal Payment ($)</t>
        </is>
      </c>
      <c r="B38" s="10" t="n">
        <v>0</v>
      </c>
      <c r="C38" s="10">
        <f>IF(B36&lt;=0,0,C39-C37)</f>
        <v/>
      </c>
      <c r="D38" s="10">
        <f>IF(B36&lt;=0,0,D39-D37)</f>
        <v/>
      </c>
      <c r="E38" s="10">
        <f>IF(B36&lt;=0,0,E39-E37)</f>
        <v/>
      </c>
      <c r="F38" s="10">
        <f>IF(B36&lt;=0,0,F39-F37)</f>
        <v/>
      </c>
      <c r="G38" s="10">
        <f>IF(B36&lt;=0,0,G39-G37)</f>
        <v/>
      </c>
      <c r="H38" s="10">
        <f>IF(B36&lt;=0,0,H39-H37)</f>
        <v/>
      </c>
      <c r="I38" s="10">
        <f>IF(B36&lt;=0,0,I39-I37)</f>
        <v/>
      </c>
      <c r="J38" s="10">
        <f>IF(B36&lt;=0,0,J39-J37)</f>
        <v/>
      </c>
      <c r="K38" s="10">
        <f>IF(B36&lt;=0,0,K39-K37)</f>
        <v/>
      </c>
      <c r="L38" s="10">
        <f>IF(B36&lt;=0,0,L39-L37)</f>
        <v/>
      </c>
      <c r="M38" s="10">
        <f>IF(B36&lt;=0,0,M39-M37)</f>
        <v/>
      </c>
      <c r="N38" s="10">
        <f>IF(B36&lt;=0,0,N39-N37)</f>
        <v/>
      </c>
      <c r="O38" s="10">
        <f>IF(B36&lt;=0,0,O39-O37)</f>
        <v/>
      </c>
      <c r="P38" s="10">
        <f>IF(B36&lt;=0,0,P39-P37)</f>
        <v/>
      </c>
      <c r="Q38" s="10">
        <f>IF(B36&lt;=0,0,Q39-Q37)</f>
        <v/>
      </c>
      <c r="R38" s="10">
        <f>IF(B36&lt;=0,0,R39-R37)</f>
        <v/>
      </c>
      <c r="S38" s="10">
        <f>IF(B36&lt;=0,0,S39-S37)</f>
        <v/>
      </c>
      <c r="T38" s="10">
        <f>IF(B36&lt;=0,0,T39-T37)</f>
        <v/>
      </c>
      <c r="U38" s="10">
        <f>IF(B36&lt;=0,0,U39-U37)</f>
        <v/>
      </c>
      <c r="V38" s="10">
        <f>IF(B36&lt;=0,0,V39-V37)</f>
        <v/>
      </c>
      <c r="W38" s="10">
        <f>IF(B36&lt;=0,0,W39-W37)</f>
        <v/>
      </c>
      <c r="X38" s="10">
        <f>IF(B36&lt;=0,0,X39-X37)</f>
        <v/>
      </c>
      <c r="Y38" s="10">
        <f>IF(B36&lt;=0,0,Y39-Y37)</f>
        <v/>
      </c>
      <c r="Z38" s="10">
        <f>IF(B36&lt;=0,0,Z39-Z37)</f>
        <v/>
      </c>
      <c r="AA38" s="10">
        <f>IF(B36&lt;=0,0,AA39-AA37)</f>
        <v/>
      </c>
    </row>
    <row r="39">
      <c r="A39" s="16" t="inlineStr">
        <is>
          <t>Total Payment — P&amp;I ($)</t>
        </is>
      </c>
      <c r="B39" s="10" t="n">
        <v>0</v>
      </c>
      <c r="C39" s="10">
        <f>IF(B36&lt;=0,0,ABS(PMT(Inputs!$C$11,Inputs!$C$13,B36,0)))</f>
        <v/>
      </c>
      <c r="D39" s="10">
        <f>IF(C36&lt;=0,0,ABS(PMT(Inputs!$C$11,Inputs!$C$13,B36,0)))</f>
        <v/>
      </c>
      <c r="E39" s="10">
        <f>IF(D36&lt;=0,0,ABS(PMT(Inputs!$C$11,Inputs!$C$13,B36,0)))</f>
        <v/>
      </c>
      <c r="F39" s="10">
        <f>IF(E36&lt;=0,0,ABS(PMT(Inputs!$C$11,Inputs!$C$13,B36,0)))</f>
        <v/>
      </c>
      <c r="G39" s="10">
        <f>IF(F36&lt;=0,0,ABS(PMT(Inputs!$C$11,Inputs!$C$13,B36,0)))</f>
        <v/>
      </c>
      <c r="H39" s="10">
        <f>IF(G36&lt;=0,0,ABS(PMT(Inputs!$C$11,Inputs!$C$13,B36,0)))</f>
        <v/>
      </c>
      <c r="I39" s="10">
        <f>IF(H36&lt;=0,0,ABS(PMT(Inputs!$C$11,Inputs!$C$13,B36,0)))</f>
        <v/>
      </c>
      <c r="J39" s="10">
        <f>IF(I36&lt;=0,0,ABS(PMT(Inputs!$C$11,Inputs!$C$13,B36,0)))</f>
        <v/>
      </c>
      <c r="K39" s="10">
        <f>IF(J36&lt;=0,0,ABS(PMT(Inputs!$C$11,Inputs!$C$13,B36,0)))</f>
        <v/>
      </c>
      <c r="L39" s="10">
        <f>IF(K36&lt;=0,0,ABS(PMT(Inputs!$C$11,Inputs!$C$13,B36,0)))</f>
        <v/>
      </c>
      <c r="M39" s="10">
        <f>IF(L36&lt;=0,0,ABS(PMT(Inputs!$C$11,Inputs!$C$13,B36,0)))</f>
        <v/>
      </c>
      <c r="N39" s="10">
        <f>IF(M36&lt;=0,0,ABS(PMT(Inputs!$C$11,Inputs!$C$13,B36,0)))</f>
        <v/>
      </c>
      <c r="O39" s="10">
        <f>IF(N36&lt;=0,0,ABS(PMT(Inputs!$C$11,Inputs!$C$13,B36,0)))</f>
        <v/>
      </c>
      <c r="P39" s="10">
        <f>IF(O36&lt;=0,0,ABS(PMT(Inputs!$C$11,Inputs!$C$13,B36,0)))</f>
        <v/>
      </c>
      <c r="Q39" s="10">
        <f>IF(P36&lt;=0,0,ABS(PMT(Inputs!$C$11,Inputs!$C$13,B36,0)))</f>
        <v/>
      </c>
      <c r="R39" s="10">
        <f>IF(Q36&lt;=0,0,ABS(PMT(Inputs!$C$11,Inputs!$C$13,B36,0)))</f>
        <v/>
      </c>
      <c r="S39" s="10">
        <f>IF(R36&lt;=0,0,ABS(PMT(Inputs!$C$11,Inputs!$C$13,B36,0)))</f>
        <v/>
      </c>
      <c r="T39" s="10">
        <f>IF(S36&lt;=0,0,ABS(PMT(Inputs!$C$11,Inputs!$C$13,B36,0)))</f>
        <v/>
      </c>
      <c r="U39" s="10">
        <f>IF(T36&lt;=0,0,ABS(PMT(Inputs!$C$11,Inputs!$C$13,B36,0)))</f>
        <v/>
      </c>
      <c r="V39" s="10">
        <f>IF(U36&lt;=0,0,ABS(PMT(Inputs!$C$11,Inputs!$C$13,B36,0)))</f>
        <v/>
      </c>
      <c r="W39" s="10">
        <f>IF(V36&lt;=0,0,ABS(PMT(Inputs!$C$11,Inputs!$C$13,B36,0)))</f>
        <v/>
      </c>
      <c r="X39" s="10">
        <f>IF(W36&lt;=0,0,ABS(PMT(Inputs!$C$11,Inputs!$C$13,B36,0)))</f>
        <v/>
      </c>
      <c r="Y39" s="10">
        <f>IF(X36&lt;=0,0,ABS(PMT(Inputs!$C$11,Inputs!$C$13,B36,0)))</f>
        <v/>
      </c>
      <c r="Z39" s="10">
        <f>IF(Y36&lt;=0,0,ABS(PMT(Inputs!$C$11,Inputs!$C$13,B36,0)))</f>
        <v/>
      </c>
      <c r="AA39" s="10">
        <f>IF(Z36&lt;=0,0,ABS(PMT(Inputs!$C$11,Inputs!$C$13,B36,0)))</f>
        <v/>
      </c>
      <c r="AB39" s="10">
        <f>SUM(C39:AA39)</f>
        <v/>
      </c>
      <c r="AC39" s="10">
        <f>NPV(Inputs!$C$12,C39:AA39)</f>
        <v/>
      </c>
    </row>
    <row r="41">
      <c r="A41" s="4" t="inlineStr">
        <is>
          <t>Elec. Bill — No System ($)</t>
        </is>
      </c>
      <c r="B41" s="10" t="n">
        <v>0</v>
      </c>
      <c r="C41" s="15">
        <f>Inputs!C25</f>
        <v/>
      </c>
      <c r="D41" s="10">
        <f>C41*(1+Inputs!$C$14)</f>
        <v/>
      </c>
      <c r="E41" s="10">
        <f>D41*(1+Inputs!$C$14)</f>
        <v/>
      </c>
      <c r="F41" s="10">
        <f>E41*(1+Inputs!$C$14)</f>
        <v/>
      </c>
      <c r="G41" s="10">
        <f>F41*(1+Inputs!$C$14)</f>
        <v/>
      </c>
      <c r="H41" s="10">
        <f>G41*(1+Inputs!$C$14)</f>
        <v/>
      </c>
      <c r="I41" s="10">
        <f>H41*(1+Inputs!$C$14)</f>
        <v/>
      </c>
      <c r="J41" s="10">
        <f>I41*(1+Inputs!$C$14)</f>
        <v/>
      </c>
      <c r="K41" s="10">
        <f>J41*(1+Inputs!$C$14)</f>
        <v/>
      </c>
      <c r="L41" s="10">
        <f>K41*(1+Inputs!$C$14)</f>
        <v/>
      </c>
      <c r="M41" s="10">
        <f>L41*(1+Inputs!$C$14)</f>
        <v/>
      </c>
      <c r="N41" s="10">
        <f>M41*(1+Inputs!$C$14)</f>
        <v/>
      </c>
      <c r="O41" s="10">
        <f>N41*(1+Inputs!$C$14)</f>
        <v/>
      </c>
      <c r="P41" s="10">
        <f>O41*(1+Inputs!$C$14)</f>
        <v/>
      </c>
      <c r="Q41" s="10">
        <f>P41*(1+Inputs!$C$14)</f>
        <v/>
      </c>
      <c r="R41" s="10">
        <f>Q41*(1+Inputs!$C$14)</f>
        <v/>
      </c>
      <c r="S41" s="10">
        <f>R41*(1+Inputs!$C$14)</f>
        <v/>
      </c>
      <c r="T41" s="10">
        <f>S41*(1+Inputs!$C$14)</f>
        <v/>
      </c>
      <c r="U41" s="10">
        <f>T41*(1+Inputs!$C$14)</f>
        <v/>
      </c>
      <c r="V41" s="10">
        <f>U41*(1+Inputs!$C$14)</f>
        <v/>
      </c>
      <c r="W41" s="10">
        <f>V41*(1+Inputs!$C$14)</f>
        <v/>
      </c>
      <c r="X41" s="10">
        <f>W41*(1+Inputs!$C$14)</f>
        <v/>
      </c>
      <c r="Y41" s="10">
        <f>X41*(1+Inputs!$C$14)</f>
        <v/>
      </c>
      <c r="Z41" s="10">
        <f>Y41*(1+Inputs!$C$14)</f>
        <v/>
      </c>
      <c r="AA41" s="10">
        <f>Z41*(1+Inputs!$C$14)</f>
        <v/>
      </c>
    </row>
    <row r="42">
      <c r="A42" s="4" t="inlineStr">
        <is>
          <t>Elec. Bill — With System ($)</t>
        </is>
      </c>
      <c r="B42" s="10" t="n">
        <v>0</v>
      </c>
      <c r="C42" s="15">
        <f>Inputs!D25</f>
        <v/>
      </c>
      <c r="D42" s="10">
        <f>C42*(1+Inputs!$C$14)</f>
        <v/>
      </c>
      <c r="E42" s="10">
        <f>D42*(1+Inputs!$C$14)</f>
        <v/>
      </c>
      <c r="F42" s="10">
        <f>E42*(1+Inputs!$C$14)</f>
        <v/>
      </c>
      <c r="G42" s="10">
        <f>F42*(1+Inputs!$C$14)</f>
        <v/>
      </c>
      <c r="H42" s="10">
        <f>G42*(1+Inputs!$C$14)</f>
        <v/>
      </c>
      <c r="I42" s="10">
        <f>H42*(1+Inputs!$C$14)</f>
        <v/>
      </c>
      <c r="J42" s="10">
        <f>I42*(1+Inputs!$C$14)</f>
        <v/>
      </c>
      <c r="K42" s="10">
        <f>J42*(1+Inputs!$C$14)</f>
        <v/>
      </c>
      <c r="L42" s="10">
        <f>K42*(1+Inputs!$C$14)</f>
        <v/>
      </c>
      <c r="M42" s="10">
        <f>L42*(1+Inputs!$C$14)</f>
        <v/>
      </c>
      <c r="N42" s="10">
        <f>M42*(1+Inputs!$C$14)</f>
        <v/>
      </c>
      <c r="O42" s="10">
        <f>N42*(1+Inputs!$C$14)</f>
        <v/>
      </c>
      <c r="P42" s="10">
        <f>O42*(1+Inputs!$C$14)</f>
        <v/>
      </c>
      <c r="Q42" s="10">
        <f>P42*(1+Inputs!$C$14)</f>
        <v/>
      </c>
      <c r="R42" s="10">
        <f>Q42*(1+Inputs!$C$14)</f>
        <v/>
      </c>
      <c r="S42" s="10">
        <f>R42*(1+Inputs!$C$14)</f>
        <v/>
      </c>
      <c r="T42" s="10">
        <f>S42*(1+Inputs!$C$14)</f>
        <v/>
      </c>
      <c r="U42" s="10">
        <f>T42*(1+Inputs!$C$14)</f>
        <v/>
      </c>
      <c r="V42" s="10">
        <f>U42*(1+Inputs!$C$14)</f>
        <v/>
      </c>
      <c r="W42" s="10">
        <f>V42*(1+Inputs!$C$14)</f>
        <v/>
      </c>
      <c r="X42" s="10">
        <f>W42*(1+Inputs!$C$14)</f>
        <v/>
      </c>
      <c r="Y42" s="10">
        <f>X42*(1+Inputs!$C$14)</f>
        <v/>
      </c>
      <c r="Z42" s="10">
        <f>Y42*(1+Inputs!$C$14)</f>
        <v/>
      </c>
      <c r="AA42" s="10">
        <f>Z42*(1+Inputs!$C$14)</f>
        <v/>
      </c>
    </row>
    <row r="43">
      <c r="A43" s="4" t="inlineStr">
        <is>
          <t>Bill Savings ($)</t>
        </is>
      </c>
      <c r="B43" s="10" t="n">
        <v>0</v>
      </c>
      <c r="C43" s="10">
        <f>C41-C42</f>
        <v/>
      </c>
      <c r="D43" s="10">
        <f>D41-D42</f>
        <v/>
      </c>
      <c r="E43" s="10">
        <f>E41-E42</f>
        <v/>
      </c>
      <c r="F43" s="10">
        <f>F41-F42</f>
        <v/>
      </c>
      <c r="G43" s="10">
        <f>G41-G42</f>
        <v/>
      </c>
      <c r="H43" s="10">
        <f>H41-H42</f>
        <v/>
      </c>
      <c r="I43" s="10">
        <f>I41-I42</f>
        <v/>
      </c>
      <c r="J43" s="10">
        <f>J41-J42</f>
        <v/>
      </c>
      <c r="K43" s="10">
        <f>K41-K42</f>
        <v/>
      </c>
      <c r="L43" s="10">
        <f>L41-L42</f>
        <v/>
      </c>
      <c r="M43" s="10">
        <f>M41-M42</f>
        <v/>
      </c>
      <c r="N43" s="10">
        <f>N41-N42</f>
        <v/>
      </c>
      <c r="O43" s="10">
        <f>O41-O42</f>
        <v/>
      </c>
      <c r="P43" s="10">
        <f>P41-P42</f>
        <v/>
      </c>
      <c r="Q43" s="10">
        <f>Q41-Q42</f>
        <v/>
      </c>
      <c r="R43" s="10">
        <f>R41-R42</f>
        <v/>
      </c>
      <c r="S43" s="10">
        <f>S41-S42</f>
        <v/>
      </c>
      <c r="T43" s="10">
        <f>T41-T42</f>
        <v/>
      </c>
      <c r="U43" s="10">
        <f>U41-U42</f>
        <v/>
      </c>
      <c r="V43" s="10">
        <f>V41-V42</f>
        <v/>
      </c>
      <c r="W43" s="10">
        <f>W41-W42</f>
        <v/>
      </c>
      <c r="X43" s="10">
        <f>X41-X42</f>
        <v/>
      </c>
      <c r="Y43" s="10">
        <f>Y41-Y42</f>
        <v/>
      </c>
      <c r="Z43" s="10">
        <f>Z41-Z42</f>
        <v/>
      </c>
      <c r="AA43" s="10">
        <f>AA41-AA42</f>
        <v/>
      </c>
      <c r="AB43" s="10">
        <f>SUM(C43:AA43)</f>
        <v/>
      </c>
      <c r="AC43" s="10">
        <f>NPV(Inputs!$C$12,C43:AA43)</f>
        <v/>
      </c>
    </row>
    <row r="44">
      <c r="A44" s="4" t="inlineStr">
        <is>
          <t>Incentive Savings — Annual ($)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>
        <f>SUM(C44:AA44)</f>
        <v/>
      </c>
      <c r="AC44" s="10">
        <f>NPV(Inputs!$C$12,C44:AA44)</f>
        <v/>
      </c>
    </row>
    <row r="45">
      <c r="A45" s="16" t="inlineStr">
        <is>
          <t>Total Savings ($)</t>
        </is>
      </c>
      <c r="B45" s="10">
        <f>B43+B44</f>
        <v/>
      </c>
      <c r="C45" s="10">
        <f>C43+C44</f>
        <v/>
      </c>
      <c r="D45" s="10">
        <f>D43+D44</f>
        <v/>
      </c>
      <c r="E45" s="10">
        <f>E43+E44</f>
        <v/>
      </c>
      <c r="F45" s="10">
        <f>F43+F44</f>
        <v/>
      </c>
      <c r="G45" s="10">
        <f>G43+G44</f>
        <v/>
      </c>
      <c r="H45" s="10">
        <f>H43+H44</f>
        <v/>
      </c>
      <c r="I45" s="10">
        <f>I43+I44</f>
        <v/>
      </c>
      <c r="J45" s="10">
        <f>J43+J44</f>
        <v/>
      </c>
      <c r="K45" s="10">
        <f>K43+K44</f>
        <v/>
      </c>
      <c r="L45" s="10">
        <f>L43+L44</f>
        <v/>
      </c>
      <c r="M45" s="10">
        <f>M43+M44</f>
        <v/>
      </c>
      <c r="N45" s="10">
        <f>N43+N44</f>
        <v/>
      </c>
      <c r="O45" s="10">
        <f>O43+O44</f>
        <v/>
      </c>
      <c r="P45" s="10">
        <f>P43+P44</f>
        <v/>
      </c>
      <c r="Q45" s="10">
        <f>Q43+Q44</f>
        <v/>
      </c>
      <c r="R45" s="10">
        <f>R43+R44</f>
        <v/>
      </c>
      <c r="S45" s="10">
        <f>S43+S44</f>
        <v/>
      </c>
      <c r="T45" s="10">
        <f>T43+T44</f>
        <v/>
      </c>
      <c r="U45" s="10">
        <f>U43+U44</f>
        <v/>
      </c>
      <c r="V45" s="10">
        <f>V43+V44</f>
        <v/>
      </c>
      <c r="W45" s="10">
        <f>W43+W44</f>
        <v/>
      </c>
      <c r="X45" s="10">
        <f>X43+X44</f>
        <v/>
      </c>
      <c r="Y45" s="10">
        <f>Y43+Y44</f>
        <v/>
      </c>
      <c r="Z45" s="10">
        <f>Z43+Z44</f>
        <v/>
      </c>
      <c r="AA45" s="10">
        <f>AA43+AA44</f>
        <v/>
      </c>
      <c r="AB45" s="10">
        <f>SUM(C45:AA45)</f>
        <v/>
      </c>
      <c r="AC45" s="10">
        <f>NPV(Inputs!$C$12,C45:AA45)</f>
        <v/>
      </c>
    </row>
    <row r="46">
      <c r="A46" s="17" t="inlineStr">
        <is>
          <t>Net Savings ($)</t>
        </is>
      </c>
      <c r="B46" s="18">
        <f>B45-B39</f>
        <v/>
      </c>
      <c r="C46" s="18">
        <f>C45-C39</f>
        <v/>
      </c>
      <c r="D46" s="18">
        <f>D45-D39</f>
        <v/>
      </c>
      <c r="E46" s="18">
        <f>E45-E39</f>
        <v/>
      </c>
      <c r="F46" s="18">
        <f>F45-F39</f>
        <v/>
      </c>
      <c r="G46" s="18">
        <f>G45-G39</f>
        <v/>
      </c>
      <c r="H46" s="18">
        <f>H45-H39</f>
        <v/>
      </c>
      <c r="I46" s="18">
        <f>I45-I39</f>
        <v/>
      </c>
      <c r="J46" s="18">
        <f>J45-J39</f>
        <v/>
      </c>
      <c r="K46" s="18">
        <f>K45-K39</f>
        <v/>
      </c>
      <c r="L46" s="18">
        <f>L45-L39</f>
        <v/>
      </c>
      <c r="M46" s="18">
        <f>M45-M39</f>
        <v/>
      </c>
      <c r="N46" s="18">
        <f>N45-N39</f>
        <v/>
      </c>
      <c r="O46" s="18">
        <f>O45-O39</f>
        <v/>
      </c>
      <c r="P46" s="18">
        <f>P45-P39</f>
        <v/>
      </c>
      <c r="Q46" s="18">
        <f>Q45-Q39</f>
        <v/>
      </c>
      <c r="R46" s="18">
        <f>R45-R39</f>
        <v/>
      </c>
      <c r="S46" s="18">
        <f>S45-S39</f>
        <v/>
      </c>
      <c r="T46" s="18">
        <f>T45-T39</f>
        <v/>
      </c>
      <c r="U46" s="18">
        <f>U45-U39</f>
        <v/>
      </c>
      <c r="V46" s="18">
        <f>V45-V39</f>
        <v/>
      </c>
      <c r="W46" s="18">
        <f>W45-W39</f>
        <v/>
      </c>
      <c r="X46" s="18">
        <f>X45-X39</f>
        <v/>
      </c>
      <c r="Y46" s="18">
        <f>Y45-Y39</f>
        <v/>
      </c>
      <c r="Z46" s="18">
        <f>Z45-Z39</f>
        <v/>
      </c>
      <c r="AA46" s="18">
        <f>AA45-AA39</f>
        <v/>
      </c>
      <c r="AB46" s="18">
        <f>SUM(C46:AA46)</f>
        <v/>
      </c>
      <c r="AC46" s="18">
        <f>NPV(Inputs!$C$12,C46:AA46)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AC46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12" customWidth="1" min="2" max="29"/>
  </cols>
  <sheetData>
    <row r="1" ht="18" customHeight="1">
      <c r="A1" s="1" t="inlineStr">
        <is>
          <t>PV + Storage — Bridge (NMB/TOU) Rate</t>
        </is>
      </c>
    </row>
    <row r="2">
      <c r="A2" s="2" t="inlineStr">
        <is>
          <t>All formulas reference Inputs sheet</t>
        </is>
      </c>
    </row>
    <row r="4" ht="16" customHeight="1">
      <c r="A4" s="3" t="inlineStr">
        <is>
          <t>Scenario 1: FedITC + State Incentives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Inputs!C5-Inputs!C18-Inputs!C20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— P&amp;I ($)</t>
        </is>
      </c>
      <c r="B9" s="10" t="n">
        <v>0</v>
      </c>
      <c r="C9" s="10">
        <f>IF(B6&lt;=0,0,ABS(PMT(Inputs!$C$11,Inputs!$C$13,B6,0)))</f>
        <v/>
      </c>
      <c r="D9" s="10">
        <f>IF(C6&lt;=0,0,ABS(PMT(Inputs!$C$11,Inputs!$C$13,B6,0)))</f>
        <v/>
      </c>
      <c r="E9" s="10">
        <f>IF(D6&lt;=0,0,ABS(PMT(Inputs!$C$11,Inputs!$C$13,B6,0)))</f>
        <v/>
      </c>
      <c r="F9" s="10">
        <f>IF(E6&lt;=0,0,ABS(PMT(Inputs!$C$11,Inputs!$C$13,B6,0)))</f>
        <v/>
      </c>
      <c r="G9" s="10">
        <f>IF(F6&lt;=0,0,ABS(PMT(Inputs!$C$11,Inputs!$C$13,B6,0)))</f>
        <v/>
      </c>
      <c r="H9" s="10">
        <f>IF(G6&lt;=0,0,ABS(PMT(Inputs!$C$11,Inputs!$C$13,B6,0)))</f>
        <v/>
      </c>
      <c r="I9" s="10">
        <f>IF(H6&lt;=0,0,ABS(PMT(Inputs!$C$11,Inputs!$C$13,B6,0)))</f>
        <v/>
      </c>
      <c r="J9" s="10">
        <f>IF(I6&lt;=0,0,ABS(PMT(Inputs!$C$11,Inputs!$C$13,B6,0)))</f>
        <v/>
      </c>
      <c r="K9" s="10">
        <f>IF(J6&lt;=0,0,ABS(PMT(Inputs!$C$11,Inputs!$C$13,B6,0)))</f>
        <v/>
      </c>
      <c r="L9" s="10">
        <f>IF(K6&lt;=0,0,ABS(PMT(Inputs!$C$11,Inputs!$C$13,B6,0)))</f>
        <v/>
      </c>
      <c r="M9" s="10">
        <f>IF(L6&lt;=0,0,ABS(PMT(Inputs!$C$11,Inputs!$C$13,B6,0)))</f>
        <v/>
      </c>
      <c r="N9" s="10">
        <f>IF(M6&lt;=0,0,ABS(PMT(Inputs!$C$11,Inputs!$C$13,B6,0)))</f>
        <v/>
      </c>
      <c r="O9" s="10">
        <f>IF(N6&lt;=0,0,ABS(PMT(Inputs!$C$11,Inputs!$C$13,B6,0)))</f>
        <v/>
      </c>
      <c r="P9" s="10">
        <f>IF(O6&lt;=0,0,ABS(PMT(Inputs!$C$11,Inputs!$C$13,B6,0)))</f>
        <v/>
      </c>
      <c r="Q9" s="10">
        <f>IF(P6&lt;=0,0,ABS(PMT(Inputs!$C$11,Inputs!$C$13,B6,0)))</f>
        <v/>
      </c>
      <c r="R9" s="10">
        <f>IF(Q6&lt;=0,0,ABS(PMT(Inputs!$C$11,Inputs!$C$13,B6,0)))</f>
        <v/>
      </c>
      <c r="S9" s="10">
        <f>IF(R6&lt;=0,0,ABS(PMT(Inputs!$C$11,Inputs!$C$13,B6,0)))</f>
        <v/>
      </c>
      <c r="T9" s="10">
        <f>IF(S6&lt;=0,0,ABS(PMT(Inputs!$C$11,Inputs!$C$13,B6,0)))</f>
        <v/>
      </c>
      <c r="U9" s="10">
        <f>IF(T6&lt;=0,0,ABS(PMT(Inputs!$C$11,Inputs!$C$13,B6,0)))</f>
        <v/>
      </c>
      <c r="V9" s="10">
        <f>IF(U6&lt;=0,0,ABS(PMT(Inputs!$C$11,Inputs!$C$13,B6,0)))</f>
        <v/>
      </c>
      <c r="W9" s="10">
        <f>IF(V6&lt;=0,0,ABS(PMT(Inputs!$C$11,Inputs!$C$13,B6,0)))</f>
        <v/>
      </c>
      <c r="X9" s="10">
        <f>IF(W6&lt;=0,0,ABS(PMT(Inputs!$C$11,Inputs!$C$13,B6,0)))</f>
        <v/>
      </c>
      <c r="Y9" s="10">
        <f>IF(X6&lt;=0,0,ABS(PMT(Inputs!$C$11,Inputs!$C$13,B6,0)))</f>
        <v/>
      </c>
      <c r="Z9" s="10">
        <f>IF(Y6&lt;=0,0,ABS(PMT(Inputs!$C$11,Inputs!$C$13,B6,0)))</f>
        <v/>
      </c>
      <c r="AA9" s="10">
        <f>IF(Z6&lt;=0,0,ABS(PMT(Inputs!$C$11,Inputs!$C$13,B6,0)))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— No System ($)</t>
        </is>
      </c>
      <c r="B11" s="10" t="n">
        <v>0</v>
      </c>
      <c r="C11" s="15">
        <f>Inputs!C26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— With System ($)</t>
        </is>
      </c>
      <c r="B12" s="10" t="n">
        <v>0</v>
      </c>
      <c r="C12" s="15">
        <f>Inputs!D26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4" t="inlineStr">
        <is>
          <t>Incentive Savings — Annual ($)</t>
        </is>
      </c>
      <c r="B14" s="10" t="n">
        <v>0</v>
      </c>
      <c r="C14" s="15">
        <f>Inputs!$C$21</f>
        <v/>
      </c>
      <c r="D14" s="15">
        <f>Inputs!$C$21</f>
        <v/>
      </c>
      <c r="E14" s="15">
        <f>Inputs!$C$21</f>
        <v/>
      </c>
      <c r="F14" s="15">
        <f>Inputs!$C$21</f>
        <v/>
      </c>
      <c r="G14" s="15">
        <f>Inputs!$C$21</f>
        <v/>
      </c>
      <c r="H14" s="15">
        <f>Inputs!$C$21</f>
        <v/>
      </c>
      <c r="I14" s="15">
        <f>Inputs!$C$21</f>
        <v/>
      </c>
      <c r="J14" s="15">
        <f>Inputs!$C$21</f>
        <v/>
      </c>
      <c r="K14" s="15">
        <f>Inputs!$C$21</f>
        <v/>
      </c>
      <c r="L14" s="15">
        <f>Inputs!$C$21</f>
        <v/>
      </c>
      <c r="M14" s="15">
        <f>Inputs!$C$21</f>
        <v/>
      </c>
      <c r="N14" s="15">
        <f>Inputs!$C$21</f>
        <v/>
      </c>
      <c r="O14" s="15">
        <f>Inputs!$C$21</f>
        <v/>
      </c>
      <c r="P14" s="15">
        <f>Inputs!$C$21</f>
        <v/>
      </c>
      <c r="Q14" s="15">
        <f>Inputs!$C$21</f>
        <v/>
      </c>
      <c r="R14" s="15">
        <f>Inputs!$C$21</f>
        <v/>
      </c>
      <c r="S14" s="15">
        <f>Inputs!$C$21</f>
        <v/>
      </c>
      <c r="T14" s="15">
        <f>Inputs!$C$21</f>
        <v/>
      </c>
      <c r="U14" s="15">
        <f>Inputs!$C$21</f>
        <v/>
      </c>
      <c r="V14" s="15">
        <f>Inputs!$C$21</f>
        <v/>
      </c>
      <c r="W14" s="15">
        <f>Inputs!$C$21</f>
        <v/>
      </c>
      <c r="X14" s="15">
        <f>Inputs!$C$21</f>
        <v/>
      </c>
      <c r="Y14" s="15">
        <f>Inputs!$C$21</f>
        <v/>
      </c>
      <c r="Z14" s="15">
        <f>Inputs!$C$21</f>
        <v/>
      </c>
      <c r="AA14" s="15">
        <f>Inputs!$C$21</f>
        <v/>
      </c>
      <c r="AB14" s="10">
        <f>SUM(C14:AA14)</f>
        <v/>
      </c>
      <c r="AC14" s="10">
        <f>NPV(Inputs!$C$12,C14:AA14)</f>
        <v/>
      </c>
    </row>
    <row r="15">
      <c r="A15" s="16" t="inlineStr">
        <is>
          <t>Total Savings ($)</t>
        </is>
      </c>
      <c r="B15" s="10">
        <f>B13+B14</f>
        <v/>
      </c>
      <c r="C15" s="10">
        <f>C13+C14</f>
        <v/>
      </c>
      <c r="D15" s="10">
        <f>D13+D14</f>
        <v/>
      </c>
      <c r="E15" s="10">
        <f>E13+E14</f>
        <v/>
      </c>
      <c r="F15" s="10">
        <f>F13+F14</f>
        <v/>
      </c>
      <c r="G15" s="10">
        <f>G13+G14</f>
        <v/>
      </c>
      <c r="H15" s="10">
        <f>H13+H14</f>
        <v/>
      </c>
      <c r="I15" s="10">
        <f>I13+I14</f>
        <v/>
      </c>
      <c r="J15" s="10">
        <f>J13+J14</f>
        <v/>
      </c>
      <c r="K15" s="10">
        <f>K13+K14</f>
        <v/>
      </c>
      <c r="L15" s="10">
        <f>L13+L14</f>
        <v/>
      </c>
      <c r="M15" s="10">
        <f>M13+M14</f>
        <v/>
      </c>
      <c r="N15" s="10">
        <f>N13+N14</f>
        <v/>
      </c>
      <c r="O15" s="10">
        <f>O13+O14</f>
        <v/>
      </c>
      <c r="P15" s="10">
        <f>P13+P14</f>
        <v/>
      </c>
      <c r="Q15" s="10">
        <f>Q13+Q14</f>
        <v/>
      </c>
      <c r="R15" s="10">
        <f>R13+R14</f>
        <v/>
      </c>
      <c r="S15" s="10">
        <f>S13+S14</f>
        <v/>
      </c>
      <c r="T15" s="10">
        <f>T13+T14</f>
        <v/>
      </c>
      <c r="U15" s="10">
        <f>U13+U14</f>
        <v/>
      </c>
      <c r="V15" s="10">
        <f>V13+V14</f>
        <v/>
      </c>
      <c r="W15" s="10">
        <f>W13+W14</f>
        <v/>
      </c>
      <c r="X15" s="10">
        <f>X13+X14</f>
        <v/>
      </c>
      <c r="Y15" s="10">
        <f>Y13+Y14</f>
        <v/>
      </c>
      <c r="Z15" s="10">
        <f>Z13+Z14</f>
        <v/>
      </c>
      <c r="AA15" s="10">
        <f>AA13+AA14</f>
        <v/>
      </c>
      <c r="AB15" s="10">
        <f>SUM(C15:AA15)</f>
        <v/>
      </c>
      <c r="AC15" s="10">
        <f>NPV(Inputs!$C$12,C15:AA15)</f>
        <v/>
      </c>
    </row>
    <row r="16">
      <c r="A16" s="17" t="inlineStr">
        <is>
          <t>Net Savings ($)</t>
        </is>
      </c>
      <c r="B16" s="18">
        <f>B15-B9</f>
        <v/>
      </c>
      <c r="C16" s="18">
        <f>C15-C9</f>
        <v/>
      </c>
      <c r="D16" s="18">
        <f>D15-D9</f>
        <v/>
      </c>
      <c r="E16" s="18">
        <f>E15-E9</f>
        <v/>
      </c>
      <c r="F16" s="18">
        <f>F15-F9</f>
        <v/>
      </c>
      <c r="G16" s="18">
        <f>G15-G9</f>
        <v/>
      </c>
      <c r="H16" s="18">
        <f>H15-H9</f>
        <v/>
      </c>
      <c r="I16" s="18">
        <f>I15-I9</f>
        <v/>
      </c>
      <c r="J16" s="18">
        <f>J15-J9</f>
        <v/>
      </c>
      <c r="K16" s="18">
        <f>K15-K9</f>
        <v/>
      </c>
      <c r="L16" s="18">
        <f>L15-L9</f>
        <v/>
      </c>
      <c r="M16" s="18">
        <f>M15-M9</f>
        <v/>
      </c>
      <c r="N16" s="18">
        <f>N15-N9</f>
        <v/>
      </c>
      <c r="O16" s="18">
        <f>O15-O9</f>
        <v/>
      </c>
      <c r="P16" s="18">
        <f>P15-P9</f>
        <v/>
      </c>
      <c r="Q16" s="18">
        <f>Q15-Q9</f>
        <v/>
      </c>
      <c r="R16" s="18">
        <f>R15-R9</f>
        <v/>
      </c>
      <c r="S16" s="18">
        <f>S15-S9</f>
        <v/>
      </c>
      <c r="T16" s="18">
        <f>T15-T9</f>
        <v/>
      </c>
      <c r="U16" s="18">
        <f>U15-U9</f>
        <v/>
      </c>
      <c r="V16" s="18">
        <f>V15-V9</f>
        <v/>
      </c>
      <c r="W16" s="18">
        <f>W15-W9</f>
        <v/>
      </c>
      <c r="X16" s="18">
        <f>X15-X9</f>
        <v/>
      </c>
      <c r="Y16" s="18">
        <f>Y15-Y9</f>
        <v/>
      </c>
      <c r="Z16" s="18">
        <f>Z15-Z9</f>
        <v/>
      </c>
      <c r="AA16" s="18">
        <f>AA15-AA9</f>
        <v/>
      </c>
      <c r="AB16" s="18">
        <f>SUM(C16:AA16)</f>
        <v/>
      </c>
      <c r="AC16" s="18">
        <f>NPV(Inputs!$C$12,C16:AA16)</f>
        <v/>
      </c>
    </row>
    <row r="19" ht="16" customHeight="1">
      <c r="A19" s="3" t="inlineStr">
        <is>
          <t>Scenario 2: State Incentives Only (No FedITC)</t>
        </is>
      </c>
    </row>
    <row r="20">
      <c r="A20" s="13" t="inlineStr">
        <is>
          <t>Year</t>
        </is>
      </c>
      <c r="B20" s="14" t="n">
        <v>0</v>
      </c>
      <c r="C20" s="14" t="n">
        <v>1</v>
      </c>
      <c r="D20" s="14" t="n">
        <v>2</v>
      </c>
      <c r="E20" s="14" t="n">
        <v>3</v>
      </c>
      <c r="F20" s="14" t="n">
        <v>4</v>
      </c>
      <c r="G20" s="14" t="n">
        <v>5</v>
      </c>
      <c r="H20" s="14" t="n">
        <v>6</v>
      </c>
      <c r="I20" s="14" t="n">
        <v>7</v>
      </c>
      <c r="J20" s="14" t="n">
        <v>8</v>
      </c>
      <c r="K20" s="14" t="n">
        <v>9</v>
      </c>
      <c r="L20" s="14" t="n">
        <v>10</v>
      </c>
      <c r="M20" s="14" t="n">
        <v>11</v>
      </c>
      <c r="N20" s="14" t="n">
        <v>12</v>
      </c>
      <c r="O20" s="14" t="n">
        <v>13</v>
      </c>
      <c r="P20" s="14" t="n">
        <v>14</v>
      </c>
      <c r="Q20" s="14" t="n">
        <v>15</v>
      </c>
      <c r="R20" s="14" t="n">
        <v>16</v>
      </c>
      <c r="S20" s="14" t="n">
        <v>17</v>
      </c>
      <c r="T20" s="14" t="n">
        <v>18</v>
      </c>
      <c r="U20" s="14" t="n">
        <v>19</v>
      </c>
      <c r="V20" s="14" t="n">
        <v>20</v>
      </c>
      <c r="W20" s="14" t="n">
        <v>21</v>
      </c>
      <c r="X20" s="14" t="n">
        <v>22</v>
      </c>
      <c r="Y20" s="14" t="n">
        <v>23</v>
      </c>
      <c r="Z20" s="14" t="n">
        <v>24</v>
      </c>
      <c r="AA20" s="14" t="n">
        <v>25</v>
      </c>
      <c r="AB20" s="13" t="inlineStr">
        <is>
          <t>25yr Total</t>
        </is>
      </c>
      <c r="AC20" s="13" t="inlineStr">
        <is>
          <t>25yr NPV</t>
        </is>
      </c>
    </row>
    <row r="21">
      <c r="A21" s="4" t="inlineStr">
        <is>
          <t>Debt Balance ($)</t>
        </is>
      </c>
      <c r="B21" s="15">
        <f>Inputs!C5-Inputs!C20</f>
        <v/>
      </c>
      <c r="C21" s="10">
        <f>MAX(0,B21-C23)</f>
        <v/>
      </c>
      <c r="D21" s="10">
        <f>MAX(0,C21-D23)</f>
        <v/>
      </c>
      <c r="E21" s="10">
        <f>MAX(0,D21-E23)</f>
        <v/>
      </c>
      <c r="F21" s="10">
        <f>MAX(0,E21-F23)</f>
        <v/>
      </c>
      <c r="G21" s="10">
        <f>MAX(0,F21-G23)</f>
        <v/>
      </c>
      <c r="H21" s="10">
        <f>MAX(0,G21-H23)</f>
        <v/>
      </c>
      <c r="I21" s="10">
        <f>MAX(0,H21-I23)</f>
        <v/>
      </c>
      <c r="J21" s="10">
        <f>MAX(0,I21-J23)</f>
        <v/>
      </c>
      <c r="K21" s="10">
        <f>MAX(0,J21-K23)</f>
        <v/>
      </c>
      <c r="L21" s="10">
        <f>MAX(0,K21-L23)</f>
        <v/>
      </c>
      <c r="M21" s="10">
        <f>MAX(0,L21-M23)</f>
        <v/>
      </c>
      <c r="N21" s="10">
        <f>MAX(0,M21-N23)</f>
        <v/>
      </c>
      <c r="O21" s="10">
        <f>MAX(0,N21-O23)</f>
        <v/>
      </c>
      <c r="P21" s="10">
        <f>MAX(0,O21-P23)</f>
        <v/>
      </c>
      <c r="Q21" s="10">
        <f>MAX(0,P21-Q23)</f>
        <v/>
      </c>
      <c r="R21" s="10">
        <f>MAX(0,Q21-R23)</f>
        <v/>
      </c>
      <c r="S21" s="10">
        <f>MAX(0,R21-S23)</f>
        <v/>
      </c>
      <c r="T21" s="10">
        <f>MAX(0,S21-T23)</f>
        <v/>
      </c>
      <c r="U21" s="10">
        <f>MAX(0,T21-U23)</f>
        <v/>
      </c>
      <c r="V21" s="10">
        <f>MAX(0,U21-V23)</f>
        <v/>
      </c>
      <c r="W21" s="10">
        <f>MAX(0,V21-W23)</f>
        <v/>
      </c>
      <c r="X21" s="10">
        <f>MAX(0,W21-X23)</f>
        <v/>
      </c>
      <c r="Y21" s="10">
        <f>MAX(0,X21-Y23)</f>
        <v/>
      </c>
      <c r="Z21" s="10">
        <f>MAX(0,Y21-Z23)</f>
        <v/>
      </c>
      <c r="AA21" s="10">
        <f>MAX(0,Z21-AA23)</f>
        <v/>
      </c>
    </row>
    <row r="22">
      <c r="A22" s="4" t="inlineStr">
        <is>
          <t>Interest Payment ($)</t>
        </is>
      </c>
      <c r="B22" s="10" t="n">
        <v>0</v>
      </c>
      <c r="C22" s="10">
        <f>IF(B21&lt;=0,0,B21*Inputs!$C$11)</f>
        <v/>
      </c>
      <c r="D22" s="10">
        <f>IF(C21&lt;=0,0,C21*Inputs!$C$11)</f>
        <v/>
      </c>
      <c r="E22" s="10">
        <f>IF(D21&lt;=0,0,D21*Inputs!$C$11)</f>
        <v/>
      </c>
      <c r="F22" s="10">
        <f>IF(E21&lt;=0,0,E21*Inputs!$C$11)</f>
        <v/>
      </c>
      <c r="G22" s="10">
        <f>IF(F21&lt;=0,0,F21*Inputs!$C$11)</f>
        <v/>
      </c>
      <c r="H22" s="10">
        <f>IF(G21&lt;=0,0,G21*Inputs!$C$11)</f>
        <v/>
      </c>
      <c r="I22" s="10">
        <f>IF(H21&lt;=0,0,H21*Inputs!$C$11)</f>
        <v/>
      </c>
      <c r="J22" s="10">
        <f>IF(I21&lt;=0,0,I21*Inputs!$C$11)</f>
        <v/>
      </c>
      <c r="K22" s="10">
        <f>IF(J21&lt;=0,0,J21*Inputs!$C$11)</f>
        <v/>
      </c>
      <c r="L22" s="10">
        <f>IF(K21&lt;=0,0,K21*Inputs!$C$11)</f>
        <v/>
      </c>
      <c r="M22" s="10">
        <f>IF(L21&lt;=0,0,L21*Inputs!$C$11)</f>
        <v/>
      </c>
      <c r="N22" s="10">
        <f>IF(M21&lt;=0,0,M21*Inputs!$C$11)</f>
        <v/>
      </c>
      <c r="O22" s="10">
        <f>IF(N21&lt;=0,0,N21*Inputs!$C$11)</f>
        <v/>
      </c>
      <c r="P22" s="10">
        <f>IF(O21&lt;=0,0,O21*Inputs!$C$11)</f>
        <v/>
      </c>
      <c r="Q22" s="10">
        <f>IF(P21&lt;=0,0,P21*Inputs!$C$11)</f>
        <v/>
      </c>
      <c r="R22" s="10">
        <f>IF(Q21&lt;=0,0,Q21*Inputs!$C$11)</f>
        <v/>
      </c>
      <c r="S22" s="10">
        <f>IF(R21&lt;=0,0,R21*Inputs!$C$11)</f>
        <v/>
      </c>
      <c r="T22" s="10">
        <f>IF(S21&lt;=0,0,S21*Inputs!$C$11)</f>
        <v/>
      </c>
      <c r="U22" s="10">
        <f>IF(T21&lt;=0,0,T21*Inputs!$C$11)</f>
        <v/>
      </c>
      <c r="V22" s="10">
        <f>IF(U21&lt;=0,0,U21*Inputs!$C$11)</f>
        <v/>
      </c>
      <c r="W22" s="10">
        <f>IF(V21&lt;=0,0,V21*Inputs!$C$11)</f>
        <v/>
      </c>
      <c r="X22" s="10">
        <f>IF(W21&lt;=0,0,W21*Inputs!$C$11)</f>
        <v/>
      </c>
      <c r="Y22" s="10">
        <f>IF(X21&lt;=0,0,X21*Inputs!$C$11)</f>
        <v/>
      </c>
      <c r="Z22" s="10">
        <f>IF(Y21&lt;=0,0,Y21*Inputs!$C$11)</f>
        <v/>
      </c>
      <c r="AA22" s="10">
        <f>IF(Z21&lt;=0,0,Z21*Inputs!$C$11)</f>
        <v/>
      </c>
    </row>
    <row r="23">
      <c r="A23" s="4" t="inlineStr">
        <is>
          <t>Principal Payment ($)</t>
        </is>
      </c>
      <c r="B23" s="10" t="n">
        <v>0</v>
      </c>
      <c r="C23" s="10">
        <f>IF(B21&lt;=0,0,C24-C22)</f>
        <v/>
      </c>
      <c r="D23" s="10">
        <f>IF(B21&lt;=0,0,D24-D22)</f>
        <v/>
      </c>
      <c r="E23" s="10">
        <f>IF(B21&lt;=0,0,E24-E22)</f>
        <v/>
      </c>
      <c r="F23" s="10">
        <f>IF(B21&lt;=0,0,F24-F22)</f>
        <v/>
      </c>
      <c r="G23" s="10">
        <f>IF(B21&lt;=0,0,G24-G22)</f>
        <v/>
      </c>
      <c r="H23" s="10">
        <f>IF(B21&lt;=0,0,H24-H22)</f>
        <v/>
      </c>
      <c r="I23" s="10">
        <f>IF(B21&lt;=0,0,I24-I22)</f>
        <v/>
      </c>
      <c r="J23" s="10">
        <f>IF(B21&lt;=0,0,J24-J22)</f>
        <v/>
      </c>
      <c r="K23" s="10">
        <f>IF(B21&lt;=0,0,K24-K22)</f>
        <v/>
      </c>
      <c r="L23" s="10">
        <f>IF(B21&lt;=0,0,L24-L22)</f>
        <v/>
      </c>
      <c r="M23" s="10">
        <f>IF(B21&lt;=0,0,M24-M22)</f>
        <v/>
      </c>
      <c r="N23" s="10">
        <f>IF(B21&lt;=0,0,N24-N22)</f>
        <v/>
      </c>
      <c r="O23" s="10">
        <f>IF(B21&lt;=0,0,O24-O22)</f>
        <v/>
      </c>
      <c r="P23" s="10">
        <f>IF(B21&lt;=0,0,P24-P22)</f>
        <v/>
      </c>
      <c r="Q23" s="10">
        <f>IF(B21&lt;=0,0,Q24-Q22)</f>
        <v/>
      </c>
      <c r="R23" s="10">
        <f>IF(B21&lt;=0,0,R24-R22)</f>
        <v/>
      </c>
      <c r="S23" s="10">
        <f>IF(B21&lt;=0,0,S24-S22)</f>
        <v/>
      </c>
      <c r="T23" s="10">
        <f>IF(B21&lt;=0,0,T24-T22)</f>
        <v/>
      </c>
      <c r="U23" s="10">
        <f>IF(B21&lt;=0,0,U24-U22)</f>
        <v/>
      </c>
      <c r="V23" s="10">
        <f>IF(B21&lt;=0,0,V24-V22)</f>
        <v/>
      </c>
      <c r="W23" s="10">
        <f>IF(B21&lt;=0,0,W24-W22)</f>
        <v/>
      </c>
      <c r="X23" s="10">
        <f>IF(B21&lt;=0,0,X24-X22)</f>
        <v/>
      </c>
      <c r="Y23" s="10">
        <f>IF(B21&lt;=0,0,Y24-Y22)</f>
        <v/>
      </c>
      <c r="Z23" s="10">
        <f>IF(B21&lt;=0,0,Z24-Z22)</f>
        <v/>
      </c>
      <c r="AA23" s="10">
        <f>IF(B21&lt;=0,0,AA24-AA22)</f>
        <v/>
      </c>
    </row>
    <row r="24">
      <c r="A24" s="16" t="inlineStr">
        <is>
          <t>Total Payment — P&amp;I ($)</t>
        </is>
      </c>
      <c r="B24" s="10" t="n">
        <v>0</v>
      </c>
      <c r="C24" s="10">
        <f>IF(B21&lt;=0,0,ABS(PMT(Inputs!$C$11,Inputs!$C$13,B21,0)))</f>
        <v/>
      </c>
      <c r="D24" s="10">
        <f>IF(C21&lt;=0,0,ABS(PMT(Inputs!$C$11,Inputs!$C$13,B21,0)))</f>
        <v/>
      </c>
      <c r="E24" s="10">
        <f>IF(D21&lt;=0,0,ABS(PMT(Inputs!$C$11,Inputs!$C$13,B21,0)))</f>
        <v/>
      </c>
      <c r="F24" s="10">
        <f>IF(E21&lt;=0,0,ABS(PMT(Inputs!$C$11,Inputs!$C$13,B21,0)))</f>
        <v/>
      </c>
      <c r="G24" s="10">
        <f>IF(F21&lt;=0,0,ABS(PMT(Inputs!$C$11,Inputs!$C$13,B21,0)))</f>
        <v/>
      </c>
      <c r="H24" s="10">
        <f>IF(G21&lt;=0,0,ABS(PMT(Inputs!$C$11,Inputs!$C$13,B21,0)))</f>
        <v/>
      </c>
      <c r="I24" s="10">
        <f>IF(H21&lt;=0,0,ABS(PMT(Inputs!$C$11,Inputs!$C$13,B21,0)))</f>
        <v/>
      </c>
      <c r="J24" s="10">
        <f>IF(I21&lt;=0,0,ABS(PMT(Inputs!$C$11,Inputs!$C$13,B21,0)))</f>
        <v/>
      </c>
      <c r="K24" s="10">
        <f>IF(J21&lt;=0,0,ABS(PMT(Inputs!$C$11,Inputs!$C$13,B21,0)))</f>
        <v/>
      </c>
      <c r="L24" s="10">
        <f>IF(K21&lt;=0,0,ABS(PMT(Inputs!$C$11,Inputs!$C$13,B21,0)))</f>
        <v/>
      </c>
      <c r="M24" s="10">
        <f>IF(L21&lt;=0,0,ABS(PMT(Inputs!$C$11,Inputs!$C$13,B21,0)))</f>
        <v/>
      </c>
      <c r="N24" s="10">
        <f>IF(M21&lt;=0,0,ABS(PMT(Inputs!$C$11,Inputs!$C$13,B21,0)))</f>
        <v/>
      </c>
      <c r="O24" s="10">
        <f>IF(N21&lt;=0,0,ABS(PMT(Inputs!$C$11,Inputs!$C$13,B21,0)))</f>
        <v/>
      </c>
      <c r="P24" s="10">
        <f>IF(O21&lt;=0,0,ABS(PMT(Inputs!$C$11,Inputs!$C$13,B21,0)))</f>
        <v/>
      </c>
      <c r="Q24" s="10">
        <f>IF(P21&lt;=0,0,ABS(PMT(Inputs!$C$11,Inputs!$C$13,B21,0)))</f>
        <v/>
      </c>
      <c r="R24" s="10">
        <f>IF(Q21&lt;=0,0,ABS(PMT(Inputs!$C$11,Inputs!$C$13,B21,0)))</f>
        <v/>
      </c>
      <c r="S24" s="10">
        <f>IF(R21&lt;=0,0,ABS(PMT(Inputs!$C$11,Inputs!$C$13,B21,0)))</f>
        <v/>
      </c>
      <c r="T24" s="10">
        <f>IF(S21&lt;=0,0,ABS(PMT(Inputs!$C$11,Inputs!$C$13,B21,0)))</f>
        <v/>
      </c>
      <c r="U24" s="10">
        <f>IF(T21&lt;=0,0,ABS(PMT(Inputs!$C$11,Inputs!$C$13,B21,0)))</f>
        <v/>
      </c>
      <c r="V24" s="10">
        <f>IF(U21&lt;=0,0,ABS(PMT(Inputs!$C$11,Inputs!$C$13,B21,0)))</f>
        <v/>
      </c>
      <c r="W24" s="10">
        <f>IF(V21&lt;=0,0,ABS(PMT(Inputs!$C$11,Inputs!$C$13,B21,0)))</f>
        <v/>
      </c>
      <c r="X24" s="10">
        <f>IF(W21&lt;=0,0,ABS(PMT(Inputs!$C$11,Inputs!$C$13,B21,0)))</f>
        <v/>
      </c>
      <c r="Y24" s="10">
        <f>IF(X21&lt;=0,0,ABS(PMT(Inputs!$C$11,Inputs!$C$13,B21,0)))</f>
        <v/>
      </c>
      <c r="Z24" s="10">
        <f>IF(Y21&lt;=0,0,ABS(PMT(Inputs!$C$11,Inputs!$C$13,B21,0)))</f>
        <v/>
      </c>
      <c r="AA24" s="10">
        <f>IF(Z21&lt;=0,0,ABS(PMT(Inputs!$C$11,Inputs!$C$13,B21,0)))</f>
        <v/>
      </c>
      <c r="AB24" s="10">
        <f>SUM(C24:AA24)</f>
        <v/>
      </c>
      <c r="AC24" s="10">
        <f>NPV(Inputs!$C$12,C24:AA24)</f>
        <v/>
      </c>
    </row>
    <row r="26">
      <c r="A26" s="4" t="inlineStr">
        <is>
          <t>Elec. Bill — No System ($)</t>
        </is>
      </c>
      <c r="B26" s="10" t="n">
        <v>0</v>
      </c>
      <c r="C26" s="15">
        <f>Inputs!C26</f>
        <v/>
      </c>
      <c r="D26" s="10">
        <f>C26*(1+Inputs!$C$14)</f>
        <v/>
      </c>
      <c r="E26" s="10">
        <f>D26*(1+Inputs!$C$14)</f>
        <v/>
      </c>
      <c r="F26" s="10">
        <f>E26*(1+Inputs!$C$14)</f>
        <v/>
      </c>
      <c r="G26" s="10">
        <f>F26*(1+Inputs!$C$14)</f>
        <v/>
      </c>
      <c r="H26" s="10">
        <f>G26*(1+Inputs!$C$14)</f>
        <v/>
      </c>
      <c r="I26" s="10">
        <f>H26*(1+Inputs!$C$14)</f>
        <v/>
      </c>
      <c r="J26" s="10">
        <f>I26*(1+Inputs!$C$14)</f>
        <v/>
      </c>
      <c r="K26" s="10">
        <f>J26*(1+Inputs!$C$14)</f>
        <v/>
      </c>
      <c r="L26" s="10">
        <f>K26*(1+Inputs!$C$14)</f>
        <v/>
      </c>
      <c r="M26" s="10">
        <f>L26*(1+Inputs!$C$14)</f>
        <v/>
      </c>
      <c r="N26" s="10">
        <f>M26*(1+Inputs!$C$14)</f>
        <v/>
      </c>
      <c r="O26" s="10">
        <f>N26*(1+Inputs!$C$14)</f>
        <v/>
      </c>
      <c r="P26" s="10">
        <f>O26*(1+Inputs!$C$14)</f>
        <v/>
      </c>
      <c r="Q26" s="10">
        <f>P26*(1+Inputs!$C$14)</f>
        <v/>
      </c>
      <c r="R26" s="10">
        <f>Q26*(1+Inputs!$C$14)</f>
        <v/>
      </c>
      <c r="S26" s="10">
        <f>R26*(1+Inputs!$C$14)</f>
        <v/>
      </c>
      <c r="T26" s="10">
        <f>S26*(1+Inputs!$C$14)</f>
        <v/>
      </c>
      <c r="U26" s="10">
        <f>T26*(1+Inputs!$C$14)</f>
        <v/>
      </c>
      <c r="V26" s="10">
        <f>U26*(1+Inputs!$C$14)</f>
        <v/>
      </c>
      <c r="W26" s="10">
        <f>V26*(1+Inputs!$C$14)</f>
        <v/>
      </c>
      <c r="X26" s="10">
        <f>W26*(1+Inputs!$C$14)</f>
        <v/>
      </c>
      <c r="Y26" s="10">
        <f>X26*(1+Inputs!$C$14)</f>
        <v/>
      </c>
      <c r="Z26" s="10">
        <f>Y26*(1+Inputs!$C$14)</f>
        <v/>
      </c>
      <c r="AA26" s="10">
        <f>Z26*(1+Inputs!$C$14)</f>
        <v/>
      </c>
    </row>
    <row r="27">
      <c r="A27" s="4" t="inlineStr">
        <is>
          <t>Elec. Bill — With System ($)</t>
        </is>
      </c>
      <c r="B27" s="10" t="n">
        <v>0</v>
      </c>
      <c r="C27" s="15">
        <f>Inputs!D26</f>
        <v/>
      </c>
      <c r="D27" s="10">
        <f>C27*(1+Inputs!$C$14)</f>
        <v/>
      </c>
      <c r="E27" s="10">
        <f>D27*(1+Inputs!$C$14)</f>
        <v/>
      </c>
      <c r="F27" s="10">
        <f>E27*(1+Inputs!$C$14)</f>
        <v/>
      </c>
      <c r="G27" s="10">
        <f>F27*(1+Inputs!$C$14)</f>
        <v/>
      </c>
      <c r="H27" s="10">
        <f>G27*(1+Inputs!$C$14)</f>
        <v/>
      </c>
      <c r="I27" s="10">
        <f>H27*(1+Inputs!$C$14)</f>
        <v/>
      </c>
      <c r="J27" s="10">
        <f>I27*(1+Inputs!$C$14)</f>
        <v/>
      </c>
      <c r="K27" s="10">
        <f>J27*(1+Inputs!$C$14)</f>
        <v/>
      </c>
      <c r="L27" s="10">
        <f>K27*(1+Inputs!$C$14)</f>
        <v/>
      </c>
      <c r="M27" s="10">
        <f>L27*(1+Inputs!$C$14)</f>
        <v/>
      </c>
      <c r="N27" s="10">
        <f>M27*(1+Inputs!$C$14)</f>
        <v/>
      </c>
      <c r="O27" s="10">
        <f>N27*(1+Inputs!$C$14)</f>
        <v/>
      </c>
      <c r="P27" s="10">
        <f>O27*(1+Inputs!$C$14)</f>
        <v/>
      </c>
      <c r="Q27" s="10">
        <f>P27*(1+Inputs!$C$14)</f>
        <v/>
      </c>
      <c r="R27" s="10">
        <f>Q27*(1+Inputs!$C$14)</f>
        <v/>
      </c>
      <c r="S27" s="10">
        <f>R27*(1+Inputs!$C$14)</f>
        <v/>
      </c>
      <c r="T27" s="10">
        <f>S27*(1+Inputs!$C$14)</f>
        <v/>
      </c>
      <c r="U27" s="10">
        <f>T27*(1+Inputs!$C$14)</f>
        <v/>
      </c>
      <c r="V27" s="10">
        <f>U27*(1+Inputs!$C$14)</f>
        <v/>
      </c>
      <c r="W27" s="10">
        <f>V27*(1+Inputs!$C$14)</f>
        <v/>
      </c>
      <c r="X27" s="10">
        <f>W27*(1+Inputs!$C$14)</f>
        <v/>
      </c>
      <c r="Y27" s="10">
        <f>X27*(1+Inputs!$C$14)</f>
        <v/>
      </c>
      <c r="Z27" s="10">
        <f>Y27*(1+Inputs!$C$14)</f>
        <v/>
      </c>
      <c r="AA27" s="10">
        <f>Z27*(1+Inputs!$C$14)</f>
        <v/>
      </c>
    </row>
    <row r="28">
      <c r="A28" s="4" t="inlineStr">
        <is>
          <t>Bill Savings ($)</t>
        </is>
      </c>
      <c r="B28" s="10" t="n">
        <v>0</v>
      </c>
      <c r="C28" s="10">
        <f>C26-C27</f>
        <v/>
      </c>
      <c r="D28" s="10">
        <f>D26-D27</f>
        <v/>
      </c>
      <c r="E28" s="10">
        <f>E26-E27</f>
        <v/>
      </c>
      <c r="F28" s="10">
        <f>F26-F27</f>
        <v/>
      </c>
      <c r="G28" s="10">
        <f>G26-G27</f>
        <v/>
      </c>
      <c r="H28" s="10">
        <f>H26-H27</f>
        <v/>
      </c>
      <c r="I28" s="10">
        <f>I26-I27</f>
        <v/>
      </c>
      <c r="J28" s="10">
        <f>J26-J27</f>
        <v/>
      </c>
      <c r="K28" s="10">
        <f>K26-K27</f>
        <v/>
      </c>
      <c r="L28" s="10">
        <f>L26-L27</f>
        <v/>
      </c>
      <c r="M28" s="10">
        <f>M26-M27</f>
        <v/>
      </c>
      <c r="N28" s="10">
        <f>N26-N27</f>
        <v/>
      </c>
      <c r="O28" s="10">
        <f>O26-O27</f>
        <v/>
      </c>
      <c r="P28" s="10">
        <f>P26-P27</f>
        <v/>
      </c>
      <c r="Q28" s="10">
        <f>Q26-Q27</f>
        <v/>
      </c>
      <c r="R28" s="10">
        <f>R26-R27</f>
        <v/>
      </c>
      <c r="S28" s="10">
        <f>S26-S27</f>
        <v/>
      </c>
      <c r="T28" s="10">
        <f>T26-T27</f>
        <v/>
      </c>
      <c r="U28" s="10">
        <f>U26-U27</f>
        <v/>
      </c>
      <c r="V28" s="10">
        <f>V26-V27</f>
        <v/>
      </c>
      <c r="W28" s="10">
        <f>W26-W27</f>
        <v/>
      </c>
      <c r="X28" s="10">
        <f>X26-X27</f>
        <v/>
      </c>
      <c r="Y28" s="10">
        <f>Y26-Y27</f>
        <v/>
      </c>
      <c r="Z28" s="10">
        <f>Z26-Z27</f>
        <v/>
      </c>
      <c r="AA28" s="10">
        <f>AA26-AA27</f>
        <v/>
      </c>
      <c r="AB28" s="10">
        <f>SUM(C28:AA28)</f>
        <v/>
      </c>
      <c r="AC28" s="10">
        <f>NPV(Inputs!$C$12,C28:AA28)</f>
        <v/>
      </c>
    </row>
    <row r="29">
      <c r="A29" s="4" t="inlineStr">
        <is>
          <t>Incentive Savings — Annual ($)</t>
        </is>
      </c>
      <c r="B29" s="10" t="n">
        <v>0</v>
      </c>
      <c r="C29" s="15">
        <f>Inputs!$C$21</f>
        <v/>
      </c>
      <c r="D29" s="15">
        <f>Inputs!$C$21</f>
        <v/>
      </c>
      <c r="E29" s="15">
        <f>Inputs!$C$21</f>
        <v/>
      </c>
      <c r="F29" s="15">
        <f>Inputs!$C$21</f>
        <v/>
      </c>
      <c r="G29" s="15">
        <f>Inputs!$C$21</f>
        <v/>
      </c>
      <c r="H29" s="15">
        <f>Inputs!$C$21</f>
        <v/>
      </c>
      <c r="I29" s="15">
        <f>Inputs!$C$21</f>
        <v/>
      </c>
      <c r="J29" s="15">
        <f>Inputs!$C$21</f>
        <v/>
      </c>
      <c r="K29" s="15">
        <f>Inputs!$C$21</f>
        <v/>
      </c>
      <c r="L29" s="15">
        <f>Inputs!$C$21</f>
        <v/>
      </c>
      <c r="M29" s="15">
        <f>Inputs!$C$21</f>
        <v/>
      </c>
      <c r="N29" s="15">
        <f>Inputs!$C$21</f>
        <v/>
      </c>
      <c r="O29" s="15">
        <f>Inputs!$C$21</f>
        <v/>
      </c>
      <c r="P29" s="15">
        <f>Inputs!$C$21</f>
        <v/>
      </c>
      <c r="Q29" s="15">
        <f>Inputs!$C$21</f>
        <v/>
      </c>
      <c r="R29" s="15">
        <f>Inputs!$C$21</f>
        <v/>
      </c>
      <c r="S29" s="15">
        <f>Inputs!$C$21</f>
        <v/>
      </c>
      <c r="T29" s="15">
        <f>Inputs!$C$21</f>
        <v/>
      </c>
      <c r="U29" s="15">
        <f>Inputs!$C$21</f>
        <v/>
      </c>
      <c r="V29" s="15">
        <f>Inputs!$C$21</f>
        <v/>
      </c>
      <c r="W29" s="15">
        <f>Inputs!$C$21</f>
        <v/>
      </c>
      <c r="X29" s="15">
        <f>Inputs!$C$21</f>
        <v/>
      </c>
      <c r="Y29" s="15">
        <f>Inputs!$C$21</f>
        <v/>
      </c>
      <c r="Z29" s="15">
        <f>Inputs!$C$21</f>
        <v/>
      </c>
      <c r="AA29" s="15">
        <f>Inputs!$C$21</f>
        <v/>
      </c>
      <c r="AB29" s="10">
        <f>SUM(C29:AA29)</f>
        <v/>
      </c>
      <c r="AC29" s="10">
        <f>NPV(Inputs!$C$12,C29:AA29)</f>
        <v/>
      </c>
    </row>
    <row r="30">
      <c r="A30" s="16" t="inlineStr">
        <is>
          <t>Total Savings ($)</t>
        </is>
      </c>
      <c r="B30" s="10">
        <f>B28+B29</f>
        <v/>
      </c>
      <c r="C30" s="10">
        <f>C28+C29</f>
        <v/>
      </c>
      <c r="D30" s="10">
        <f>D28+D29</f>
        <v/>
      </c>
      <c r="E30" s="10">
        <f>E28+E29</f>
        <v/>
      </c>
      <c r="F30" s="10">
        <f>F28+F29</f>
        <v/>
      </c>
      <c r="G30" s="10">
        <f>G28+G29</f>
        <v/>
      </c>
      <c r="H30" s="10">
        <f>H28+H29</f>
        <v/>
      </c>
      <c r="I30" s="10">
        <f>I28+I29</f>
        <v/>
      </c>
      <c r="J30" s="10">
        <f>J28+J29</f>
        <v/>
      </c>
      <c r="K30" s="10">
        <f>K28+K29</f>
        <v/>
      </c>
      <c r="L30" s="10">
        <f>L28+L29</f>
        <v/>
      </c>
      <c r="M30" s="10">
        <f>M28+M29</f>
        <v/>
      </c>
      <c r="N30" s="10">
        <f>N28+N29</f>
        <v/>
      </c>
      <c r="O30" s="10">
        <f>O28+O29</f>
        <v/>
      </c>
      <c r="P30" s="10">
        <f>P28+P29</f>
        <v/>
      </c>
      <c r="Q30" s="10">
        <f>Q28+Q29</f>
        <v/>
      </c>
      <c r="R30" s="10">
        <f>R28+R29</f>
        <v/>
      </c>
      <c r="S30" s="10">
        <f>S28+S29</f>
        <v/>
      </c>
      <c r="T30" s="10">
        <f>T28+T29</f>
        <v/>
      </c>
      <c r="U30" s="10">
        <f>U28+U29</f>
        <v/>
      </c>
      <c r="V30" s="10">
        <f>V28+V29</f>
        <v/>
      </c>
      <c r="W30" s="10">
        <f>W28+W29</f>
        <v/>
      </c>
      <c r="X30" s="10">
        <f>X28+X29</f>
        <v/>
      </c>
      <c r="Y30" s="10">
        <f>Y28+Y29</f>
        <v/>
      </c>
      <c r="Z30" s="10">
        <f>Z28+Z29</f>
        <v/>
      </c>
      <c r="AA30" s="10">
        <f>AA28+AA29</f>
        <v/>
      </c>
      <c r="AB30" s="10">
        <f>SUM(C30:AA30)</f>
        <v/>
      </c>
      <c r="AC30" s="10">
        <f>NPV(Inputs!$C$12,C30:AA30)</f>
        <v/>
      </c>
    </row>
    <row r="31">
      <c r="A31" s="17" t="inlineStr">
        <is>
          <t>Net Savings ($)</t>
        </is>
      </c>
      <c r="B31" s="18">
        <f>B30-B24</f>
        <v/>
      </c>
      <c r="C31" s="18">
        <f>C30-C24</f>
        <v/>
      </c>
      <c r="D31" s="18">
        <f>D30-D24</f>
        <v/>
      </c>
      <c r="E31" s="18">
        <f>E30-E24</f>
        <v/>
      </c>
      <c r="F31" s="18">
        <f>F30-F24</f>
        <v/>
      </c>
      <c r="G31" s="18">
        <f>G30-G24</f>
        <v/>
      </c>
      <c r="H31" s="18">
        <f>H30-H24</f>
        <v/>
      </c>
      <c r="I31" s="18">
        <f>I30-I24</f>
        <v/>
      </c>
      <c r="J31" s="18">
        <f>J30-J24</f>
        <v/>
      </c>
      <c r="K31" s="18">
        <f>K30-K24</f>
        <v/>
      </c>
      <c r="L31" s="18">
        <f>L30-L24</f>
        <v/>
      </c>
      <c r="M31" s="18">
        <f>M30-M24</f>
        <v/>
      </c>
      <c r="N31" s="18">
        <f>N30-N24</f>
        <v/>
      </c>
      <c r="O31" s="18">
        <f>O30-O24</f>
        <v/>
      </c>
      <c r="P31" s="18">
        <f>P30-P24</f>
        <v/>
      </c>
      <c r="Q31" s="18">
        <f>Q30-Q24</f>
        <v/>
      </c>
      <c r="R31" s="18">
        <f>R30-R24</f>
        <v/>
      </c>
      <c r="S31" s="18">
        <f>S30-S24</f>
        <v/>
      </c>
      <c r="T31" s="18">
        <f>T30-T24</f>
        <v/>
      </c>
      <c r="U31" s="18">
        <f>U30-U24</f>
        <v/>
      </c>
      <c r="V31" s="18">
        <f>V30-V24</f>
        <v/>
      </c>
      <c r="W31" s="18">
        <f>W30-W24</f>
        <v/>
      </c>
      <c r="X31" s="18">
        <f>X30-X24</f>
        <v/>
      </c>
      <c r="Y31" s="18">
        <f>Y30-Y24</f>
        <v/>
      </c>
      <c r="Z31" s="18">
        <f>Z30-Z24</f>
        <v/>
      </c>
      <c r="AA31" s="18">
        <f>AA30-AA24</f>
        <v/>
      </c>
      <c r="AB31" s="18">
        <f>SUM(C31:AA31)</f>
        <v/>
      </c>
      <c r="AC31" s="18">
        <f>NPV(Inputs!$C$12,C31:AA31)</f>
        <v/>
      </c>
    </row>
    <row r="34" ht="16" customHeight="1">
      <c r="A34" s="3" t="inlineStr">
        <is>
          <t>Scenario 3: No Incentives</t>
        </is>
      </c>
    </row>
    <row r="35">
      <c r="A35" s="13" t="inlineStr">
        <is>
          <t>Year</t>
        </is>
      </c>
      <c r="B35" s="14" t="n">
        <v>0</v>
      </c>
      <c r="C35" s="14" t="n">
        <v>1</v>
      </c>
      <c r="D35" s="14" t="n">
        <v>2</v>
      </c>
      <c r="E35" s="14" t="n">
        <v>3</v>
      </c>
      <c r="F35" s="14" t="n">
        <v>4</v>
      </c>
      <c r="G35" s="14" t="n">
        <v>5</v>
      </c>
      <c r="H35" s="14" t="n">
        <v>6</v>
      </c>
      <c r="I35" s="14" t="n">
        <v>7</v>
      </c>
      <c r="J35" s="14" t="n">
        <v>8</v>
      </c>
      <c r="K35" s="14" t="n">
        <v>9</v>
      </c>
      <c r="L35" s="14" t="n">
        <v>10</v>
      </c>
      <c r="M35" s="14" t="n">
        <v>11</v>
      </c>
      <c r="N35" s="14" t="n">
        <v>12</v>
      </c>
      <c r="O35" s="14" t="n">
        <v>13</v>
      </c>
      <c r="P35" s="14" t="n">
        <v>14</v>
      </c>
      <c r="Q35" s="14" t="n">
        <v>15</v>
      </c>
      <c r="R35" s="14" t="n">
        <v>16</v>
      </c>
      <c r="S35" s="14" t="n">
        <v>17</v>
      </c>
      <c r="T35" s="14" t="n">
        <v>18</v>
      </c>
      <c r="U35" s="14" t="n">
        <v>19</v>
      </c>
      <c r="V35" s="14" t="n">
        <v>20</v>
      </c>
      <c r="W35" s="14" t="n">
        <v>21</v>
      </c>
      <c r="X35" s="14" t="n">
        <v>22</v>
      </c>
      <c r="Y35" s="14" t="n">
        <v>23</v>
      </c>
      <c r="Z35" s="14" t="n">
        <v>24</v>
      </c>
      <c r="AA35" s="14" t="n">
        <v>25</v>
      </c>
      <c r="AB35" s="13" t="inlineStr">
        <is>
          <t>25yr Total</t>
        </is>
      </c>
      <c r="AC35" s="13" t="inlineStr">
        <is>
          <t>25yr NPV</t>
        </is>
      </c>
    </row>
    <row r="36">
      <c r="A36" s="4" t="inlineStr">
        <is>
          <t>Debt Balance ($)</t>
        </is>
      </c>
      <c r="B36" s="15">
        <f>Inputs!C5</f>
        <v/>
      </c>
      <c r="C36" s="10">
        <f>MAX(0,B36-C38)</f>
        <v/>
      </c>
      <c r="D36" s="10">
        <f>MAX(0,C36-D38)</f>
        <v/>
      </c>
      <c r="E36" s="10">
        <f>MAX(0,D36-E38)</f>
        <v/>
      </c>
      <c r="F36" s="10">
        <f>MAX(0,E36-F38)</f>
        <v/>
      </c>
      <c r="G36" s="10">
        <f>MAX(0,F36-G38)</f>
        <v/>
      </c>
      <c r="H36" s="10">
        <f>MAX(0,G36-H38)</f>
        <v/>
      </c>
      <c r="I36" s="10">
        <f>MAX(0,H36-I38)</f>
        <v/>
      </c>
      <c r="J36" s="10">
        <f>MAX(0,I36-J38)</f>
        <v/>
      </c>
      <c r="K36" s="10">
        <f>MAX(0,J36-K38)</f>
        <v/>
      </c>
      <c r="L36" s="10">
        <f>MAX(0,K36-L38)</f>
        <v/>
      </c>
      <c r="M36" s="10">
        <f>MAX(0,L36-M38)</f>
        <v/>
      </c>
      <c r="N36" s="10">
        <f>MAX(0,M36-N38)</f>
        <v/>
      </c>
      <c r="O36" s="10">
        <f>MAX(0,N36-O38)</f>
        <v/>
      </c>
      <c r="P36" s="10">
        <f>MAX(0,O36-P38)</f>
        <v/>
      </c>
      <c r="Q36" s="10">
        <f>MAX(0,P36-Q38)</f>
        <v/>
      </c>
      <c r="R36" s="10">
        <f>MAX(0,Q36-R38)</f>
        <v/>
      </c>
      <c r="S36" s="10">
        <f>MAX(0,R36-S38)</f>
        <v/>
      </c>
      <c r="T36" s="10">
        <f>MAX(0,S36-T38)</f>
        <v/>
      </c>
      <c r="U36" s="10">
        <f>MAX(0,T36-U38)</f>
        <v/>
      </c>
      <c r="V36" s="10">
        <f>MAX(0,U36-V38)</f>
        <v/>
      </c>
      <c r="W36" s="10">
        <f>MAX(0,V36-W38)</f>
        <v/>
      </c>
      <c r="X36" s="10">
        <f>MAX(0,W36-X38)</f>
        <v/>
      </c>
      <c r="Y36" s="10">
        <f>MAX(0,X36-Y38)</f>
        <v/>
      </c>
      <c r="Z36" s="10">
        <f>MAX(0,Y36-Z38)</f>
        <v/>
      </c>
      <c r="AA36" s="10">
        <f>MAX(0,Z36-AA38)</f>
        <v/>
      </c>
    </row>
    <row r="37">
      <c r="A37" s="4" t="inlineStr">
        <is>
          <t>Interest Payment ($)</t>
        </is>
      </c>
      <c r="B37" s="10" t="n">
        <v>0</v>
      </c>
      <c r="C37" s="10">
        <f>IF(B36&lt;=0,0,B36*Inputs!$C$11)</f>
        <v/>
      </c>
      <c r="D37" s="10">
        <f>IF(C36&lt;=0,0,C36*Inputs!$C$11)</f>
        <v/>
      </c>
      <c r="E37" s="10">
        <f>IF(D36&lt;=0,0,D36*Inputs!$C$11)</f>
        <v/>
      </c>
      <c r="F37" s="10">
        <f>IF(E36&lt;=0,0,E36*Inputs!$C$11)</f>
        <v/>
      </c>
      <c r="G37" s="10">
        <f>IF(F36&lt;=0,0,F36*Inputs!$C$11)</f>
        <v/>
      </c>
      <c r="H37" s="10">
        <f>IF(G36&lt;=0,0,G36*Inputs!$C$11)</f>
        <v/>
      </c>
      <c r="I37" s="10">
        <f>IF(H36&lt;=0,0,H36*Inputs!$C$11)</f>
        <v/>
      </c>
      <c r="J37" s="10">
        <f>IF(I36&lt;=0,0,I36*Inputs!$C$11)</f>
        <v/>
      </c>
      <c r="K37" s="10">
        <f>IF(J36&lt;=0,0,J36*Inputs!$C$11)</f>
        <v/>
      </c>
      <c r="L37" s="10">
        <f>IF(K36&lt;=0,0,K36*Inputs!$C$11)</f>
        <v/>
      </c>
      <c r="M37" s="10">
        <f>IF(L36&lt;=0,0,L36*Inputs!$C$11)</f>
        <v/>
      </c>
      <c r="N37" s="10">
        <f>IF(M36&lt;=0,0,M36*Inputs!$C$11)</f>
        <v/>
      </c>
      <c r="O37" s="10">
        <f>IF(N36&lt;=0,0,N36*Inputs!$C$11)</f>
        <v/>
      </c>
      <c r="P37" s="10">
        <f>IF(O36&lt;=0,0,O36*Inputs!$C$11)</f>
        <v/>
      </c>
      <c r="Q37" s="10">
        <f>IF(P36&lt;=0,0,P36*Inputs!$C$11)</f>
        <v/>
      </c>
      <c r="R37" s="10">
        <f>IF(Q36&lt;=0,0,Q36*Inputs!$C$11)</f>
        <v/>
      </c>
      <c r="S37" s="10">
        <f>IF(R36&lt;=0,0,R36*Inputs!$C$11)</f>
        <v/>
      </c>
      <c r="T37" s="10">
        <f>IF(S36&lt;=0,0,S36*Inputs!$C$11)</f>
        <v/>
      </c>
      <c r="U37" s="10">
        <f>IF(T36&lt;=0,0,T36*Inputs!$C$11)</f>
        <v/>
      </c>
      <c r="V37" s="10">
        <f>IF(U36&lt;=0,0,U36*Inputs!$C$11)</f>
        <v/>
      </c>
      <c r="W37" s="10">
        <f>IF(V36&lt;=0,0,V36*Inputs!$C$11)</f>
        <v/>
      </c>
      <c r="X37" s="10">
        <f>IF(W36&lt;=0,0,W36*Inputs!$C$11)</f>
        <v/>
      </c>
      <c r="Y37" s="10">
        <f>IF(X36&lt;=0,0,X36*Inputs!$C$11)</f>
        <v/>
      </c>
      <c r="Z37" s="10">
        <f>IF(Y36&lt;=0,0,Y36*Inputs!$C$11)</f>
        <v/>
      </c>
      <c r="AA37" s="10">
        <f>IF(Z36&lt;=0,0,Z36*Inputs!$C$11)</f>
        <v/>
      </c>
    </row>
    <row r="38">
      <c r="A38" s="4" t="inlineStr">
        <is>
          <t>Principal Payment ($)</t>
        </is>
      </c>
      <c r="B38" s="10" t="n">
        <v>0</v>
      </c>
      <c r="C38" s="10">
        <f>IF(B36&lt;=0,0,C39-C37)</f>
        <v/>
      </c>
      <c r="D38" s="10">
        <f>IF(B36&lt;=0,0,D39-D37)</f>
        <v/>
      </c>
      <c r="E38" s="10">
        <f>IF(B36&lt;=0,0,E39-E37)</f>
        <v/>
      </c>
      <c r="F38" s="10">
        <f>IF(B36&lt;=0,0,F39-F37)</f>
        <v/>
      </c>
      <c r="G38" s="10">
        <f>IF(B36&lt;=0,0,G39-G37)</f>
        <v/>
      </c>
      <c r="H38" s="10">
        <f>IF(B36&lt;=0,0,H39-H37)</f>
        <v/>
      </c>
      <c r="I38" s="10">
        <f>IF(B36&lt;=0,0,I39-I37)</f>
        <v/>
      </c>
      <c r="J38" s="10">
        <f>IF(B36&lt;=0,0,J39-J37)</f>
        <v/>
      </c>
      <c r="K38" s="10">
        <f>IF(B36&lt;=0,0,K39-K37)</f>
        <v/>
      </c>
      <c r="L38" s="10">
        <f>IF(B36&lt;=0,0,L39-L37)</f>
        <v/>
      </c>
      <c r="M38" s="10">
        <f>IF(B36&lt;=0,0,M39-M37)</f>
        <v/>
      </c>
      <c r="N38" s="10">
        <f>IF(B36&lt;=0,0,N39-N37)</f>
        <v/>
      </c>
      <c r="O38" s="10">
        <f>IF(B36&lt;=0,0,O39-O37)</f>
        <v/>
      </c>
      <c r="P38" s="10">
        <f>IF(B36&lt;=0,0,P39-P37)</f>
        <v/>
      </c>
      <c r="Q38" s="10">
        <f>IF(B36&lt;=0,0,Q39-Q37)</f>
        <v/>
      </c>
      <c r="R38" s="10">
        <f>IF(B36&lt;=0,0,R39-R37)</f>
        <v/>
      </c>
      <c r="S38" s="10">
        <f>IF(B36&lt;=0,0,S39-S37)</f>
        <v/>
      </c>
      <c r="T38" s="10">
        <f>IF(B36&lt;=0,0,T39-T37)</f>
        <v/>
      </c>
      <c r="U38" s="10">
        <f>IF(B36&lt;=0,0,U39-U37)</f>
        <v/>
      </c>
      <c r="V38" s="10">
        <f>IF(B36&lt;=0,0,V39-V37)</f>
        <v/>
      </c>
      <c r="W38" s="10">
        <f>IF(B36&lt;=0,0,W39-W37)</f>
        <v/>
      </c>
      <c r="X38" s="10">
        <f>IF(B36&lt;=0,0,X39-X37)</f>
        <v/>
      </c>
      <c r="Y38" s="10">
        <f>IF(B36&lt;=0,0,Y39-Y37)</f>
        <v/>
      </c>
      <c r="Z38" s="10">
        <f>IF(B36&lt;=0,0,Z39-Z37)</f>
        <v/>
      </c>
      <c r="AA38" s="10">
        <f>IF(B36&lt;=0,0,AA39-AA37)</f>
        <v/>
      </c>
    </row>
    <row r="39">
      <c r="A39" s="16" t="inlineStr">
        <is>
          <t>Total Payment — P&amp;I ($)</t>
        </is>
      </c>
      <c r="B39" s="10" t="n">
        <v>0</v>
      </c>
      <c r="C39" s="10">
        <f>IF(B36&lt;=0,0,ABS(PMT(Inputs!$C$11,Inputs!$C$13,B36,0)))</f>
        <v/>
      </c>
      <c r="D39" s="10">
        <f>IF(C36&lt;=0,0,ABS(PMT(Inputs!$C$11,Inputs!$C$13,B36,0)))</f>
        <v/>
      </c>
      <c r="E39" s="10">
        <f>IF(D36&lt;=0,0,ABS(PMT(Inputs!$C$11,Inputs!$C$13,B36,0)))</f>
        <v/>
      </c>
      <c r="F39" s="10">
        <f>IF(E36&lt;=0,0,ABS(PMT(Inputs!$C$11,Inputs!$C$13,B36,0)))</f>
        <v/>
      </c>
      <c r="G39" s="10">
        <f>IF(F36&lt;=0,0,ABS(PMT(Inputs!$C$11,Inputs!$C$13,B36,0)))</f>
        <v/>
      </c>
      <c r="H39" s="10">
        <f>IF(G36&lt;=0,0,ABS(PMT(Inputs!$C$11,Inputs!$C$13,B36,0)))</f>
        <v/>
      </c>
      <c r="I39" s="10">
        <f>IF(H36&lt;=0,0,ABS(PMT(Inputs!$C$11,Inputs!$C$13,B36,0)))</f>
        <v/>
      </c>
      <c r="J39" s="10">
        <f>IF(I36&lt;=0,0,ABS(PMT(Inputs!$C$11,Inputs!$C$13,B36,0)))</f>
        <v/>
      </c>
      <c r="K39" s="10">
        <f>IF(J36&lt;=0,0,ABS(PMT(Inputs!$C$11,Inputs!$C$13,B36,0)))</f>
        <v/>
      </c>
      <c r="L39" s="10">
        <f>IF(K36&lt;=0,0,ABS(PMT(Inputs!$C$11,Inputs!$C$13,B36,0)))</f>
        <v/>
      </c>
      <c r="M39" s="10">
        <f>IF(L36&lt;=0,0,ABS(PMT(Inputs!$C$11,Inputs!$C$13,B36,0)))</f>
        <v/>
      </c>
      <c r="N39" s="10">
        <f>IF(M36&lt;=0,0,ABS(PMT(Inputs!$C$11,Inputs!$C$13,B36,0)))</f>
        <v/>
      </c>
      <c r="O39" s="10">
        <f>IF(N36&lt;=0,0,ABS(PMT(Inputs!$C$11,Inputs!$C$13,B36,0)))</f>
        <v/>
      </c>
      <c r="P39" s="10">
        <f>IF(O36&lt;=0,0,ABS(PMT(Inputs!$C$11,Inputs!$C$13,B36,0)))</f>
        <v/>
      </c>
      <c r="Q39" s="10">
        <f>IF(P36&lt;=0,0,ABS(PMT(Inputs!$C$11,Inputs!$C$13,B36,0)))</f>
        <v/>
      </c>
      <c r="R39" s="10">
        <f>IF(Q36&lt;=0,0,ABS(PMT(Inputs!$C$11,Inputs!$C$13,B36,0)))</f>
        <v/>
      </c>
      <c r="S39" s="10">
        <f>IF(R36&lt;=0,0,ABS(PMT(Inputs!$C$11,Inputs!$C$13,B36,0)))</f>
        <v/>
      </c>
      <c r="T39" s="10">
        <f>IF(S36&lt;=0,0,ABS(PMT(Inputs!$C$11,Inputs!$C$13,B36,0)))</f>
        <v/>
      </c>
      <c r="U39" s="10">
        <f>IF(T36&lt;=0,0,ABS(PMT(Inputs!$C$11,Inputs!$C$13,B36,0)))</f>
        <v/>
      </c>
      <c r="V39" s="10">
        <f>IF(U36&lt;=0,0,ABS(PMT(Inputs!$C$11,Inputs!$C$13,B36,0)))</f>
        <v/>
      </c>
      <c r="W39" s="10">
        <f>IF(V36&lt;=0,0,ABS(PMT(Inputs!$C$11,Inputs!$C$13,B36,0)))</f>
        <v/>
      </c>
      <c r="X39" s="10">
        <f>IF(W36&lt;=0,0,ABS(PMT(Inputs!$C$11,Inputs!$C$13,B36,0)))</f>
        <v/>
      </c>
      <c r="Y39" s="10">
        <f>IF(X36&lt;=0,0,ABS(PMT(Inputs!$C$11,Inputs!$C$13,B36,0)))</f>
        <v/>
      </c>
      <c r="Z39" s="10">
        <f>IF(Y36&lt;=0,0,ABS(PMT(Inputs!$C$11,Inputs!$C$13,B36,0)))</f>
        <v/>
      </c>
      <c r="AA39" s="10">
        <f>IF(Z36&lt;=0,0,ABS(PMT(Inputs!$C$11,Inputs!$C$13,B36,0)))</f>
        <v/>
      </c>
      <c r="AB39" s="10">
        <f>SUM(C39:AA39)</f>
        <v/>
      </c>
      <c r="AC39" s="10">
        <f>NPV(Inputs!$C$12,C39:AA39)</f>
        <v/>
      </c>
    </row>
    <row r="41">
      <c r="A41" s="4" t="inlineStr">
        <is>
          <t>Elec. Bill — No System ($)</t>
        </is>
      </c>
      <c r="B41" s="10" t="n">
        <v>0</v>
      </c>
      <c r="C41" s="15">
        <f>Inputs!C26</f>
        <v/>
      </c>
      <c r="D41" s="10">
        <f>C41*(1+Inputs!$C$14)</f>
        <v/>
      </c>
      <c r="E41" s="10">
        <f>D41*(1+Inputs!$C$14)</f>
        <v/>
      </c>
      <c r="F41" s="10">
        <f>E41*(1+Inputs!$C$14)</f>
        <v/>
      </c>
      <c r="G41" s="10">
        <f>F41*(1+Inputs!$C$14)</f>
        <v/>
      </c>
      <c r="H41" s="10">
        <f>G41*(1+Inputs!$C$14)</f>
        <v/>
      </c>
      <c r="I41" s="10">
        <f>H41*(1+Inputs!$C$14)</f>
        <v/>
      </c>
      <c r="J41" s="10">
        <f>I41*(1+Inputs!$C$14)</f>
        <v/>
      </c>
      <c r="K41" s="10">
        <f>J41*(1+Inputs!$C$14)</f>
        <v/>
      </c>
      <c r="L41" s="10">
        <f>K41*(1+Inputs!$C$14)</f>
        <v/>
      </c>
      <c r="M41" s="10">
        <f>L41*(1+Inputs!$C$14)</f>
        <v/>
      </c>
      <c r="N41" s="10">
        <f>M41*(1+Inputs!$C$14)</f>
        <v/>
      </c>
      <c r="O41" s="10">
        <f>N41*(1+Inputs!$C$14)</f>
        <v/>
      </c>
      <c r="P41" s="10">
        <f>O41*(1+Inputs!$C$14)</f>
        <v/>
      </c>
      <c r="Q41" s="10">
        <f>P41*(1+Inputs!$C$14)</f>
        <v/>
      </c>
      <c r="R41" s="10">
        <f>Q41*(1+Inputs!$C$14)</f>
        <v/>
      </c>
      <c r="S41" s="10">
        <f>R41*(1+Inputs!$C$14)</f>
        <v/>
      </c>
      <c r="T41" s="10">
        <f>S41*(1+Inputs!$C$14)</f>
        <v/>
      </c>
      <c r="U41" s="10">
        <f>T41*(1+Inputs!$C$14)</f>
        <v/>
      </c>
      <c r="V41" s="10">
        <f>U41*(1+Inputs!$C$14)</f>
        <v/>
      </c>
      <c r="W41" s="10">
        <f>V41*(1+Inputs!$C$14)</f>
        <v/>
      </c>
      <c r="X41" s="10">
        <f>W41*(1+Inputs!$C$14)</f>
        <v/>
      </c>
      <c r="Y41" s="10">
        <f>X41*(1+Inputs!$C$14)</f>
        <v/>
      </c>
      <c r="Z41" s="10">
        <f>Y41*(1+Inputs!$C$14)</f>
        <v/>
      </c>
      <c r="AA41" s="10">
        <f>Z41*(1+Inputs!$C$14)</f>
        <v/>
      </c>
    </row>
    <row r="42">
      <c r="A42" s="4" t="inlineStr">
        <is>
          <t>Elec. Bill — With System ($)</t>
        </is>
      </c>
      <c r="B42" s="10" t="n">
        <v>0</v>
      </c>
      <c r="C42" s="15">
        <f>Inputs!D26</f>
        <v/>
      </c>
      <c r="D42" s="10">
        <f>C42*(1+Inputs!$C$14)</f>
        <v/>
      </c>
      <c r="E42" s="10">
        <f>D42*(1+Inputs!$C$14)</f>
        <v/>
      </c>
      <c r="F42" s="10">
        <f>E42*(1+Inputs!$C$14)</f>
        <v/>
      </c>
      <c r="G42" s="10">
        <f>F42*(1+Inputs!$C$14)</f>
        <v/>
      </c>
      <c r="H42" s="10">
        <f>G42*(1+Inputs!$C$14)</f>
        <v/>
      </c>
      <c r="I42" s="10">
        <f>H42*(1+Inputs!$C$14)</f>
        <v/>
      </c>
      <c r="J42" s="10">
        <f>I42*(1+Inputs!$C$14)</f>
        <v/>
      </c>
      <c r="K42" s="10">
        <f>J42*(1+Inputs!$C$14)</f>
        <v/>
      </c>
      <c r="L42" s="10">
        <f>K42*(1+Inputs!$C$14)</f>
        <v/>
      </c>
      <c r="M42" s="10">
        <f>L42*(1+Inputs!$C$14)</f>
        <v/>
      </c>
      <c r="N42" s="10">
        <f>M42*(1+Inputs!$C$14)</f>
        <v/>
      </c>
      <c r="O42" s="10">
        <f>N42*(1+Inputs!$C$14)</f>
        <v/>
      </c>
      <c r="P42" s="10">
        <f>O42*(1+Inputs!$C$14)</f>
        <v/>
      </c>
      <c r="Q42" s="10">
        <f>P42*(1+Inputs!$C$14)</f>
        <v/>
      </c>
      <c r="R42" s="10">
        <f>Q42*(1+Inputs!$C$14)</f>
        <v/>
      </c>
      <c r="S42" s="10">
        <f>R42*(1+Inputs!$C$14)</f>
        <v/>
      </c>
      <c r="T42" s="10">
        <f>S42*(1+Inputs!$C$14)</f>
        <v/>
      </c>
      <c r="U42" s="10">
        <f>T42*(1+Inputs!$C$14)</f>
        <v/>
      </c>
      <c r="V42" s="10">
        <f>U42*(1+Inputs!$C$14)</f>
        <v/>
      </c>
      <c r="W42" s="10">
        <f>V42*(1+Inputs!$C$14)</f>
        <v/>
      </c>
      <c r="X42" s="10">
        <f>W42*(1+Inputs!$C$14)</f>
        <v/>
      </c>
      <c r="Y42" s="10">
        <f>X42*(1+Inputs!$C$14)</f>
        <v/>
      </c>
      <c r="Z42" s="10">
        <f>Y42*(1+Inputs!$C$14)</f>
        <v/>
      </c>
      <c r="AA42" s="10">
        <f>Z42*(1+Inputs!$C$14)</f>
        <v/>
      </c>
    </row>
    <row r="43">
      <c r="A43" s="4" t="inlineStr">
        <is>
          <t>Bill Savings ($)</t>
        </is>
      </c>
      <c r="B43" s="10" t="n">
        <v>0</v>
      </c>
      <c r="C43" s="10">
        <f>C41-C42</f>
        <v/>
      </c>
      <c r="D43" s="10">
        <f>D41-D42</f>
        <v/>
      </c>
      <c r="E43" s="10">
        <f>E41-E42</f>
        <v/>
      </c>
      <c r="F43" s="10">
        <f>F41-F42</f>
        <v/>
      </c>
      <c r="G43" s="10">
        <f>G41-G42</f>
        <v/>
      </c>
      <c r="H43" s="10">
        <f>H41-H42</f>
        <v/>
      </c>
      <c r="I43" s="10">
        <f>I41-I42</f>
        <v/>
      </c>
      <c r="J43" s="10">
        <f>J41-J42</f>
        <v/>
      </c>
      <c r="K43" s="10">
        <f>K41-K42</f>
        <v/>
      </c>
      <c r="L43" s="10">
        <f>L41-L42</f>
        <v/>
      </c>
      <c r="M43" s="10">
        <f>M41-M42</f>
        <v/>
      </c>
      <c r="N43" s="10">
        <f>N41-N42</f>
        <v/>
      </c>
      <c r="O43" s="10">
        <f>O41-O42</f>
        <v/>
      </c>
      <c r="P43" s="10">
        <f>P41-P42</f>
        <v/>
      </c>
      <c r="Q43" s="10">
        <f>Q41-Q42</f>
        <v/>
      </c>
      <c r="R43" s="10">
        <f>R41-R42</f>
        <v/>
      </c>
      <c r="S43" s="10">
        <f>S41-S42</f>
        <v/>
      </c>
      <c r="T43" s="10">
        <f>T41-T42</f>
        <v/>
      </c>
      <c r="U43" s="10">
        <f>U41-U42</f>
        <v/>
      </c>
      <c r="V43" s="10">
        <f>V41-V42</f>
        <v/>
      </c>
      <c r="W43" s="10">
        <f>W41-W42</f>
        <v/>
      </c>
      <c r="X43" s="10">
        <f>X41-X42</f>
        <v/>
      </c>
      <c r="Y43" s="10">
        <f>Y41-Y42</f>
        <v/>
      </c>
      <c r="Z43" s="10">
        <f>Z41-Z42</f>
        <v/>
      </c>
      <c r="AA43" s="10">
        <f>AA41-AA42</f>
        <v/>
      </c>
      <c r="AB43" s="10">
        <f>SUM(C43:AA43)</f>
        <v/>
      </c>
      <c r="AC43" s="10">
        <f>NPV(Inputs!$C$12,C43:AA43)</f>
        <v/>
      </c>
    </row>
    <row r="44">
      <c r="A44" s="4" t="inlineStr">
        <is>
          <t>Incentive Savings — Annual ($)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>
        <f>SUM(C44:AA44)</f>
        <v/>
      </c>
      <c r="AC44" s="10">
        <f>NPV(Inputs!$C$12,C44:AA44)</f>
        <v/>
      </c>
    </row>
    <row r="45">
      <c r="A45" s="16" t="inlineStr">
        <is>
          <t>Total Savings ($)</t>
        </is>
      </c>
      <c r="B45" s="10">
        <f>B43+B44</f>
        <v/>
      </c>
      <c r="C45" s="10">
        <f>C43+C44</f>
        <v/>
      </c>
      <c r="D45" s="10">
        <f>D43+D44</f>
        <v/>
      </c>
      <c r="E45" s="10">
        <f>E43+E44</f>
        <v/>
      </c>
      <c r="F45" s="10">
        <f>F43+F44</f>
        <v/>
      </c>
      <c r="G45" s="10">
        <f>G43+G44</f>
        <v/>
      </c>
      <c r="H45" s="10">
        <f>H43+H44</f>
        <v/>
      </c>
      <c r="I45" s="10">
        <f>I43+I44</f>
        <v/>
      </c>
      <c r="J45" s="10">
        <f>J43+J44</f>
        <v/>
      </c>
      <c r="K45" s="10">
        <f>K43+K44</f>
        <v/>
      </c>
      <c r="L45" s="10">
        <f>L43+L44</f>
        <v/>
      </c>
      <c r="M45" s="10">
        <f>M43+M44</f>
        <v/>
      </c>
      <c r="N45" s="10">
        <f>N43+N44</f>
        <v/>
      </c>
      <c r="O45" s="10">
        <f>O43+O44</f>
        <v/>
      </c>
      <c r="P45" s="10">
        <f>P43+P44</f>
        <v/>
      </c>
      <c r="Q45" s="10">
        <f>Q43+Q44</f>
        <v/>
      </c>
      <c r="R45" s="10">
        <f>R43+R44</f>
        <v/>
      </c>
      <c r="S45" s="10">
        <f>S43+S44</f>
        <v/>
      </c>
      <c r="T45" s="10">
        <f>T43+T44</f>
        <v/>
      </c>
      <c r="U45" s="10">
        <f>U43+U44</f>
        <v/>
      </c>
      <c r="V45" s="10">
        <f>V43+V44</f>
        <v/>
      </c>
      <c r="W45" s="10">
        <f>W43+W44</f>
        <v/>
      </c>
      <c r="X45" s="10">
        <f>X43+X44</f>
        <v/>
      </c>
      <c r="Y45" s="10">
        <f>Y43+Y44</f>
        <v/>
      </c>
      <c r="Z45" s="10">
        <f>Z43+Z44</f>
        <v/>
      </c>
      <c r="AA45" s="10">
        <f>AA43+AA44</f>
        <v/>
      </c>
      <c r="AB45" s="10">
        <f>SUM(C45:AA45)</f>
        <v/>
      </c>
      <c r="AC45" s="10">
        <f>NPV(Inputs!$C$12,C45:AA45)</f>
        <v/>
      </c>
    </row>
    <row r="46">
      <c r="A46" s="17" t="inlineStr">
        <is>
          <t>Net Savings ($)</t>
        </is>
      </c>
      <c r="B46" s="18">
        <f>B45-B39</f>
        <v/>
      </c>
      <c r="C46" s="18">
        <f>C45-C39</f>
        <v/>
      </c>
      <c r="D46" s="18">
        <f>D45-D39</f>
        <v/>
      </c>
      <c r="E46" s="18">
        <f>E45-E39</f>
        <v/>
      </c>
      <c r="F46" s="18">
        <f>F45-F39</f>
        <v/>
      </c>
      <c r="G46" s="18">
        <f>G45-G39</f>
        <v/>
      </c>
      <c r="H46" s="18">
        <f>H45-H39</f>
        <v/>
      </c>
      <c r="I46" s="18">
        <f>I45-I39</f>
        <v/>
      </c>
      <c r="J46" s="18">
        <f>J45-J39</f>
        <v/>
      </c>
      <c r="K46" s="18">
        <f>K45-K39</f>
        <v/>
      </c>
      <c r="L46" s="18">
        <f>L45-L39</f>
        <v/>
      </c>
      <c r="M46" s="18">
        <f>M45-M39</f>
        <v/>
      </c>
      <c r="N46" s="18">
        <f>N45-N39</f>
        <v/>
      </c>
      <c r="O46" s="18">
        <f>O45-O39</f>
        <v/>
      </c>
      <c r="P46" s="18">
        <f>P45-P39</f>
        <v/>
      </c>
      <c r="Q46" s="18">
        <f>Q45-Q39</f>
        <v/>
      </c>
      <c r="R46" s="18">
        <f>R45-R39</f>
        <v/>
      </c>
      <c r="S46" s="18">
        <f>S45-S39</f>
        <v/>
      </c>
      <c r="T46" s="18">
        <f>T45-T39</f>
        <v/>
      </c>
      <c r="U46" s="18">
        <f>U45-U39</f>
        <v/>
      </c>
      <c r="V46" s="18">
        <f>V45-V39</f>
        <v/>
      </c>
      <c r="W46" s="18">
        <f>W45-W39</f>
        <v/>
      </c>
      <c r="X46" s="18">
        <f>X45-X39</f>
        <v/>
      </c>
      <c r="Y46" s="18">
        <f>Y45-Y39</f>
        <v/>
      </c>
      <c r="Z46" s="18">
        <f>Z45-Z39</f>
        <v/>
      </c>
      <c r="AA46" s="18">
        <f>AA45-AA39</f>
        <v/>
      </c>
      <c r="AB46" s="18">
        <f>SUM(C46:AA46)</f>
        <v/>
      </c>
      <c r="AC46" s="18">
        <f>NPV(Inputs!$C$12,C46:AA46)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D7D31"/>
    <outlinePr summaryBelow="1" summaryRight="1"/>
    <pageSetUpPr/>
  </sheetPr>
  <dimension ref="A1:AC31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12" customWidth="1" min="2" max="29"/>
  </cols>
  <sheetData>
    <row r="1" ht="18" customHeight="1">
      <c r="A1" s="1" t="inlineStr">
        <is>
          <t>Solar Only — RSC Rate</t>
        </is>
      </c>
    </row>
    <row r="2">
      <c r="A2" s="2" t="inlineStr">
        <is>
          <t>All formulas reference Inputs sheet</t>
        </is>
      </c>
    </row>
    <row r="4" ht="16" customHeight="1">
      <c r="A4" s="3" t="inlineStr">
        <is>
          <t>Scenario 1: With FedITC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Inputs!C6-Inputs!C19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— P&amp;I ($)</t>
        </is>
      </c>
      <c r="B9" s="10" t="n">
        <v>0</v>
      </c>
      <c r="C9" s="10">
        <f>IF(B6&lt;=0,0,ABS(PMT(Inputs!$C$11,Inputs!$C$13,B6,0)))</f>
        <v/>
      </c>
      <c r="D9" s="10">
        <f>IF(C6&lt;=0,0,ABS(PMT(Inputs!$C$11,Inputs!$C$13,B6,0)))</f>
        <v/>
      </c>
      <c r="E9" s="10">
        <f>IF(D6&lt;=0,0,ABS(PMT(Inputs!$C$11,Inputs!$C$13,B6,0)))</f>
        <v/>
      </c>
      <c r="F9" s="10">
        <f>IF(E6&lt;=0,0,ABS(PMT(Inputs!$C$11,Inputs!$C$13,B6,0)))</f>
        <v/>
      </c>
      <c r="G9" s="10">
        <f>IF(F6&lt;=0,0,ABS(PMT(Inputs!$C$11,Inputs!$C$13,B6,0)))</f>
        <v/>
      </c>
      <c r="H9" s="10">
        <f>IF(G6&lt;=0,0,ABS(PMT(Inputs!$C$11,Inputs!$C$13,B6,0)))</f>
        <v/>
      </c>
      <c r="I9" s="10">
        <f>IF(H6&lt;=0,0,ABS(PMT(Inputs!$C$11,Inputs!$C$13,B6,0)))</f>
        <v/>
      </c>
      <c r="J9" s="10">
        <f>IF(I6&lt;=0,0,ABS(PMT(Inputs!$C$11,Inputs!$C$13,B6,0)))</f>
        <v/>
      </c>
      <c r="K9" s="10">
        <f>IF(J6&lt;=0,0,ABS(PMT(Inputs!$C$11,Inputs!$C$13,B6,0)))</f>
        <v/>
      </c>
      <c r="L9" s="10">
        <f>IF(K6&lt;=0,0,ABS(PMT(Inputs!$C$11,Inputs!$C$13,B6,0)))</f>
        <v/>
      </c>
      <c r="M9" s="10">
        <f>IF(L6&lt;=0,0,ABS(PMT(Inputs!$C$11,Inputs!$C$13,B6,0)))</f>
        <v/>
      </c>
      <c r="N9" s="10">
        <f>IF(M6&lt;=0,0,ABS(PMT(Inputs!$C$11,Inputs!$C$13,B6,0)))</f>
        <v/>
      </c>
      <c r="O9" s="10">
        <f>IF(N6&lt;=0,0,ABS(PMT(Inputs!$C$11,Inputs!$C$13,B6,0)))</f>
        <v/>
      </c>
      <c r="P9" s="10">
        <f>IF(O6&lt;=0,0,ABS(PMT(Inputs!$C$11,Inputs!$C$13,B6,0)))</f>
        <v/>
      </c>
      <c r="Q9" s="10">
        <f>IF(P6&lt;=0,0,ABS(PMT(Inputs!$C$11,Inputs!$C$13,B6,0)))</f>
        <v/>
      </c>
      <c r="R9" s="10">
        <f>IF(Q6&lt;=0,0,ABS(PMT(Inputs!$C$11,Inputs!$C$13,B6,0)))</f>
        <v/>
      </c>
      <c r="S9" s="10">
        <f>IF(R6&lt;=0,0,ABS(PMT(Inputs!$C$11,Inputs!$C$13,B6,0)))</f>
        <v/>
      </c>
      <c r="T9" s="10">
        <f>IF(S6&lt;=0,0,ABS(PMT(Inputs!$C$11,Inputs!$C$13,B6,0)))</f>
        <v/>
      </c>
      <c r="U9" s="10">
        <f>IF(T6&lt;=0,0,ABS(PMT(Inputs!$C$11,Inputs!$C$13,B6,0)))</f>
        <v/>
      </c>
      <c r="V9" s="10">
        <f>IF(U6&lt;=0,0,ABS(PMT(Inputs!$C$11,Inputs!$C$13,B6,0)))</f>
        <v/>
      </c>
      <c r="W9" s="10">
        <f>IF(V6&lt;=0,0,ABS(PMT(Inputs!$C$11,Inputs!$C$13,B6,0)))</f>
        <v/>
      </c>
      <c r="X9" s="10">
        <f>IF(W6&lt;=0,0,ABS(PMT(Inputs!$C$11,Inputs!$C$13,B6,0)))</f>
        <v/>
      </c>
      <c r="Y9" s="10">
        <f>IF(X6&lt;=0,0,ABS(PMT(Inputs!$C$11,Inputs!$C$13,B6,0)))</f>
        <v/>
      </c>
      <c r="Z9" s="10">
        <f>IF(Y6&lt;=0,0,ABS(PMT(Inputs!$C$11,Inputs!$C$13,B6,0)))</f>
        <v/>
      </c>
      <c r="AA9" s="10">
        <f>IF(Z6&lt;=0,0,ABS(PMT(Inputs!$C$11,Inputs!$C$13,B6,0)))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— No System ($)</t>
        </is>
      </c>
      <c r="B11" s="10" t="n">
        <v>0</v>
      </c>
      <c r="C11" s="15">
        <f>Inputs!C27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— With System ($)</t>
        </is>
      </c>
      <c r="B12" s="10" t="n">
        <v>0</v>
      </c>
      <c r="C12" s="15">
        <f>Inputs!D27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4" t="inlineStr">
        <is>
          <t>Incentive Savings — Annual ($)</t>
        </is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>
        <f>SUM(C14:AA14)</f>
        <v/>
      </c>
      <c r="AC14" s="10">
        <f>NPV(Inputs!$C$12,C14:AA14)</f>
        <v/>
      </c>
    </row>
    <row r="15">
      <c r="A15" s="16" t="inlineStr">
        <is>
          <t>Total Savings ($)</t>
        </is>
      </c>
      <c r="B15" s="10">
        <f>B13+B14</f>
        <v/>
      </c>
      <c r="C15" s="10">
        <f>C13+C14</f>
        <v/>
      </c>
      <c r="D15" s="10">
        <f>D13+D14</f>
        <v/>
      </c>
      <c r="E15" s="10">
        <f>E13+E14</f>
        <v/>
      </c>
      <c r="F15" s="10">
        <f>F13+F14</f>
        <v/>
      </c>
      <c r="G15" s="10">
        <f>G13+G14</f>
        <v/>
      </c>
      <c r="H15" s="10">
        <f>H13+H14</f>
        <v/>
      </c>
      <c r="I15" s="10">
        <f>I13+I14</f>
        <v/>
      </c>
      <c r="J15" s="10">
        <f>J13+J14</f>
        <v/>
      </c>
      <c r="K15" s="10">
        <f>K13+K14</f>
        <v/>
      </c>
      <c r="L15" s="10">
        <f>L13+L14</f>
        <v/>
      </c>
      <c r="M15" s="10">
        <f>M13+M14</f>
        <v/>
      </c>
      <c r="N15" s="10">
        <f>N13+N14</f>
        <v/>
      </c>
      <c r="O15" s="10">
        <f>O13+O14</f>
        <v/>
      </c>
      <c r="P15" s="10">
        <f>P13+P14</f>
        <v/>
      </c>
      <c r="Q15" s="10">
        <f>Q13+Q14</f>
        <v/>
      </c>
      <c r="R15" s="10">
        <f>R13+R14</f>
        <v/>
      </c>
      <c r="S15" s="10">
        <f>S13+S14</f>
        <v/>
      </c>
      <c r="T15" s="10">
        <f>T13+T14</f>
        <v/>
      </c>
      <c r="U15" s="10">
        <f>U13+U14</f>
        <v/>
      </c>
      <c r="V15" s="10">
        <f>V13+V14</f>
        <v/>
      </c>
      <c r="W15" s="10">
        <f>W13+W14</f>
        <v/>
      </c>
      <c r="X15" s="10">
        <f>X13+X14</f>
        <v/>
      </c>
      <c r="Y15" s="10">
        <f>Y13+Y14</f>
        <v/>
      </c>
      <c r="Z15" s="10">
        <f>Z13+Z14</f>
        <v/>
      </c>
      <c r="AA15" s="10">
        <f>AA13+AA14</f>
        <v/>
      </c>
      <c r="AB15" s="10">
        <f>SUM(C15:AA15)</f>
        <v/>
      </c>
      <c r="AC15" s="10">
        <f>NPV(Inputs!$C$12,C15:AA15)</f>
        <v/>
      </c>
    </row>
    <row r="16">
      <c r="A16" s="17" t="inlineStr">
        <is>
          <t>Net Savings ($)</t>
        </is>
      </c>
      <c r="B16" s="18">
        <f>B15-B9</f>
        <v/>
      </c>
      <c r="C16" s="18">
        <f>C15-C9</f>
        <v/>
      </c>
      <c r="D16" s="18">
        <f>D15-D9</f>
        <v/>
      </c>
      <c r="E16" s="18">
        <f>E15-E9</f>
        <v/>
      </c>
      <c r="F16" s="18">
        <f>F15-F9</f>
        <v/>
      </c>
      <c r="G16" s="18">
        <f>G15-G9</f>
        <v/>
      </c>
      <c r="H16" s="18">
        <f>H15-H9</f>
        <v/>
      </c>
      <c r="I16" s="18">
        <f>I15-I9</f>
        <v/>
      </c>
      <c r="J16" s="18">
        <f>J15-J9</f>
        <v/>
      </c>
      <c r="K16" s="18">
        <f>K15-K9</f>
        <v/>
      </c>
      <c r="L16" s="18">
        <f>L15-L9</f>
        <v/>
      </c>
      <c r="M16" s="18">
        <f>M15-M9</f>
        <v/>
      </c>
      <c r="N16" s="18">
        <f>N15-N9</f>
        <v/>
      </c>
      <c r="O16" s="18">
        <f>O15-O9</f>
        <v/>
      </c>
      <c r="P16" s="18">
        <f>P15-P9</f>
        <v/>
      </c>
      <c r="Q16" s="18">
        <f>Q15-Q9</f>
        <v/>
      </c>
      <c r="R16" s="18">
        <f>R15-R9</f>
        <v/>
      </c>
      <c r="S16" s="18">
        <f>S15-S9</f>
        <v/>
      </c>
      <c r="T16" s="18">
        <f>T15-T9</f>
        <v/>
      </c>
      <c r="U16" s="18">
        <f>U15-U9</f>
        <v/>
      </c>
      <c r="V16" s="18">
        <f>V15-V9</f>
        <v/>
      </c>
      <c r="W16" s="18">
        <f>W15-W9</f>
        <v/>
      </c>
      <c r="X16" s="18">
        <f>X15-X9</f>
        <v/>
      </c>
      <c r="Y16" s="18">
        <f>Y15-Y9</f>
        <v/>
      </c>
      <c r="Z16" s="18">
        <f>Z15-Z9</f>
        <v/>
      </c>
      <c r="AA16" s="18">
        <f>AA15-AA9</f>
        <v/>
      </c>
      <c r="AB16" s="18">
        <f>SUM(C16:AA16)</f>
        <v/>
      </c>
      <c r="AC16" s="18">
        <f>NPV(Inputs!$C$12,C16:AA16)</f>
        <v/>
      </c>
    </row>
    <row r="19" ht="16" customHeight="1">
      <c r="A19" s="3" t="inlineStr">
        <is>
          <t>Scenario 2: No Incentives</t>
        </is>
      </c>
    </row>
    <row r="20">
      <c r="A20" s="13" t="inlineStr">
        <is>
          <t>Year</t>
        </is>
      </c>
      <c r="B20" s="14" t="n">
        <v>0</v>
      </c>
      <c r="C20" s="14" t="n">
        <v>1</v>
      </c>
      <c r="D20" s="14" t="n">
        <v>2</v>
      </c>
      <c r="E20" s="14" t="n">
        <v>3</v>
      </c>
      <c r="F20" s="14" t="n">
        <v>4</v>
      </c>
      <c r="G20" s="14" t="n">
        <v>5</v>
      </c>
      <c r="H20" s="14" t="n">
        <v>6</v>
      </c>
      <c r="I20" s="14" t="n">
        <v>7</v>
      </c>
      <c r="J20" s="14" t="n">
        <v>8</v>
      </c>
      <c r="K20" s="14" t="n">
        <v>9</v>
      </c>
      <c r="L20" s="14" t="n">
        <v>10</v>
      </c>
      <c r="M20" s="14" t="n">
        <v>11</v>
      </c>
      <c r="N20" s="14" t="n">
        <v>12</v>
      </c>
      <c r="O20" s="14" t="n">
        <v>13</v>
      </c>
      <c r="P20" s="14" t="n">
        <v>14</v>
      </c>
      <c r="Q20" s="14" t="n">
        <v>15</v>
      </c>
      <c r="R20" s="14" t="n">
        <v>16</v>
      </c>
      <c r="S20" s="14" t="n">
        <v>17</v>
      </c>
      <c r="T20" s="14" t="n">
        <v>18</v>
      </c>
      <c r="U20" s="14" t="n">
        <v>19</v>
      </c>
      <c r="V20" s="14" t="n">
        <v>20</v>
      </c>
      <c r="W20" s="14" t="n">
        <v>21</v>
      </c>
      <c r="X20" s="14" t="n">
        <v>22</v>
      </c>
      <c r="Y20" s="14" t="n">
        <v>23</v>
      </c>
      <c r="Z20" s="14" t="n">
        <v>24</v>
      </c>
      <c r="AA20" s="14" t="n">
        <v>25</v>
      </c>
      <c r="AB20" s="13" t="inlineStr">
        <is>
          <t>25yr Total</t>
        </is>
      </c>
      <c r="AC20" s="13" t="inlineStr">
        <is>
          <t>25yr NPV</t>
        </is>
      </c>
    </row>
    <row r="21">
      <c r="A21" s="4" t="inlineStr">
        <is>
          <t>Debt Balance ($)</t>
        </is>
      </c>
      <c r="B21" s="15">
        <f>Inputs!C6</f>
        <v/>
      </c>
      <c r="C21" s="10">
        <f>MAX(0,B21-C23)</f>
        <v/>
      </c>
      <c r="D21" s="10">
        <f>MAX(0,C21-D23)</f>
        <v/>
      </c>
      <c r="E21" s="10">
        <f>MAX(0,D21-E23)</f>
        <v/>
      </c>
      <c r="F21" s="10">
        <f>MAX(0,E21-F23)</f>
        <v/>
      </c>
      <c r="G21" s="10">
        <f>MAX(0,F21-G23)</f>
        <v/>
      </c>
      <c r="H21" s="10">
        <f>MAX(0,G21-H23)</f>
        <v/>
      </c>
      <c r="I21" s="10">
        <f>MAX(0,H21-I23)</f>
        <v/>
      </c>
      <c r="J21" s="10">
        <f>MAX(0,I21-J23)</f>
        <v/>
      </c>
      <c r="K21" s="10">
        <f>MAX(0,J21-K23)</f>
        <v/>
      </c>
      <c r="L21" s="10">
        <f>MAX(0,K21-L23)</f>
        <v/>
      </c>
      <c r="M21" s="10">
        <f>MAX(0,L21-M23)</f>
        <v/>
      </c>
      <c r="N21" s="10">
        <f>MAX(0,M21-N23)</f>
        <v/>
      </c>
      <c r="O21" s="10">
        <f>MAX(0,N21-O23)</f>
        <v/>
      </c>
      <c r="P21" s="10">
        <f>MAX(0,O21-P23)</f>
        <v/>
      </c>
      <c r="Q21" s="10">
        <f>MAX(0,P21-Q23)</f>
        <v/>
      </c>
      <c r="R21" s="10">
        <f>MAX(0,Q21-R23)</f>
        <v/>
      </c>
      <c r="S21" s="10">
        <f>MAX(0,R21-S23)</f>
        <v/>
      </c>
      <c r="T21" s="10">
        <f>MAX(0,S21-T23)</f>
        <v/>
      </c>
      <c r="U21" s="10">
        <f>MAX(0,T21-U23)</f>
        <v/>
      </c>
      <c r="V21" s="10">
        <f>MAX(0,U21-V23)</f>
        <v/>
      </c>
      <c r="W21" s="10">
        <f>MAX(0,V21-W23)</f>
        <v/>
      </c>
      <c r="X21" s="10">
        <f>MAX(0,W21-X23)</f>
        <v/>
      </c>
      <c r="Y21" s="10">
        <f>MAX(0,X21-Y23)</f>
        <v/>
      </c>
      <c r="Z21" s="10">
        <f>MAX(0,Y21-Z23)</f>
        <v/>
      </c>
      <c r="AA21" s="10">
        <f>MAX(0,Z21-AA23)</f>
        <v/>
      </c>
    </row>
    <row r="22">
      <c r="A22" s="4" t="inlineStr">
        <is>
          <t>Interest Payment ($)</t>
        </is>
      </c>
      <c r="B22" s="10" t="n">
        <v>0</v>
      </c>
      <c r="C22" s="10">
        <f>IF(B21&lt;=0,0,B21*Inputs!$C$11)</f>
        <v/>
      </c>
      <c r="D22" s="10">
        <f>IF(C21&lt;=0,0,C21*Inputs!$C$11)</f>
        <v/>
      </c>
      <c r="E22" s="10">
        <f>IF(D21&lt;=0,0,D21*Inputs!$C$11)</f>
        <v/>
      </c>
      <c r="F22" s="10">
        <f>IF(E21&lt;=0,0,E21*Inputs!$C$11)</f>
        <v/>
      </c>
      <c r="G22" s="10">
        <f>IF(F21&lt;=0,0,F21*Inputs!$C$11)</f>
        <v/>
      </c>
      <c r="H22" s="10">
        <f>IF(G21&lt;=0,0,G21*Inputs!$C$11)</f>
        <v/>
      </c>
      <c r="I22" s="10">
        <f>IF(H21&lt;=0,0,H21*Inputs!$C$11)</f>
        <v/>
      </c>
      <c r="J22" s="10">
        <f>IF(I21&lt;=0,0,I21*Inputs!$C$11)</f>
        <v/>
      </c>
      <c r="K22" s="10">
        <f>IF(J21&lt;=0,0,J21*Inputs!$C$11)</f>
        <v/>
      </c>
      <c r="L22" s="10">
        <f>IF(K21&lt;=0,0,K21*Inputs!$C$11)</f>
        <v/>
      </c>
      <c r="M22" s="10">
        <f>IF(L21&lt;=0,0,L21*Inputs!$C$11)</f>
        <v/>
      </c>
      <c r="N22" s="10">
        <f>IF(M21&lt;=0,0,M21*Inputs!$C$11)</f>
        <v/>
      </c>
      <c r="O22" s="10">
        <f>IF(N21&lt;=0,0,N21*Inputs!$C$11)</f>
        <v/>
      </c>
      <c r="P22" s="10">
        <f>IF(O21&lt;=0,0,O21*Inputs!$C$11)</f>
        <v/>
      </c>
      <c r="Q22" s="10">
        <f>IF(P21&lt;=0,0,P21*Inputs!$C$11)</f>
        <v/>
      </c>
      <c r="R22" s="10">
        <f>IF(Q21&lt;=0,0,Q21*Inputs!$C$11)</f>
        <v/>
      </c>
      <c r="S22" s="10">
        <f>IF(R21&lt;=0,0,R21*Inputs!$C$11)</f>
        <v/>
      </c>
      <c r="T22" s="10">
        <f>IF(S21&lt;=0,0,S21*Inputs!$C$11)</f>
        <v/>
      </c>
      <c r="U22" s="10">
        <f>IF(T21&lt;=0,0,T21*Inputs!$C$11)</f>
        <v/>
      </c>
      <c r="V22" s="10">
        <f>IF(U21&lt;=0,0,U21*Inputs!$C$11)</f>
        <v/>
      </c>
      <c r="W22" s="10">
        <f>IF(V21&lt;=0,0,V21*Inputs!$C$11)</f>
        <v/>
      </c>
      <c r="X22" s="10">
        <f>IF(W21&lt;=0,0,W21*Inputs!$C$11)</f>
        <v/>
      </c>
      <c r="Y22" s="10">
        <f>IF(X21&lt;=0,0,X21*Inputs!$C$11)</f>
        <v/>
      </c>
      <c r="Z22" s="10">
        <f>IF(Y21&lt;=0,0,Y21*Inputs!$C$11)</f>
        <v/>
      </c>
      <c r="AA22" s="10">
        <f>IF(Z21&lt;=0,0,Z21*Inputs!$C$11)</f>
        <v/>
      </c>
    </row>
    <row r="23">
      <c r="A23" s="4" t="inlineStr">
        <is>
          <t>Principal Payment ($)</t>
        </is>
      </c>
      <c r="B23" s="10" t="n">
        <v>0</v>
      </c>
      <c r="C23" s="10">
        <f>IF(B21&lt;=0,0,C24-C22)</f>
        <v/>
      </c>
      <c r="D23" s="10">
        <f>IF(B21&lt;=0,0,D24-D22)</f>
        <v/>
      </c>
      <c r="E23" s="10">
        <f>IF(B21&lt;=0,0,E24-E22)</f>
        <v/>
      </c>
      <c r="F23" s="10">
        <f>IF(B21&lt;=0,0,F24-F22)</f>
        <v/>
      </c>
      <c r="G23" s="10">
        <f>IF(B21&lt;=0,0,G24-G22)</f>
        <v/>
      </c>
      <c r="H23" s="10">
        <f>IF(B21&lt;=0,0,H24-H22)</f>
        <v/>
      </c>
      <c r="I23" s="10">
        <f>IF(B21&lt;=0,0,I24-I22)</f>
        <v/>
      </c>
      <c r="J23" s="10">
        <f>IF(B21&lt;=0,0,J24-J22)</f>
        <v/>
      </c>
      <c r="K23" s="10">
        <f>IF(B21&lt;=0,0,K24-K22)</f>
        <v/>
      </c>
      <c r="L23" s="10">
        <f>IF(B21&lt;=0,0,L24-L22)</f>
        <v/>
      </c>
      <c r="M23" s="10">
        <f>IF(B21&lt;=0,0,M24-M22)</f>
        <v/>
      </c>
      <c r="N23" s="10">
        <f>IF(B21&lt;=0,0,N24-N22)</f>
        <v/>
      </c>
      <c r="O23" s="10">
        <f>IF(B21&lt;=0,0,O24-O22)</f>
        <v/>
      </c>
      <c r="P23" s="10">
        <f>IF(B21&lt;=0,0,P24-P22)</f>
        <v/>
      </c>
      <c r="Q23" s="10">
        <f>IF(B21&lt;=0,0,Q24-Q22)</f>
        <v/>
      </c>
      <c r="R23" s="10">
        <f>IF(B21&lt;=0,0,R24-R22)</f>
        <v/>
      </c>
      <c r="S23" s="10">
        <f>IF(B21&lt;=0,0,S24-S22)</f>
        <v/>
      </c>
      <c r="T23" s="10">
        <f>IF(B21&lt;=0,0,T24-T22)</f>
        <v/>
      </c>
      <c r="U23" s="10">
        <f>IF(B21&lt;=0,0,U24-U22)</f>
        <v/>
      </c>
      <c r="V23" s="10">
        <f>IF(B21&lt;=0,0,V24-V22)</f>
        <v/>
      </c>
      <c r="W23" s="10">
        <f>IF(B21&lt;=0,0,W24-W22)</f>
        <v/>
      </c>
      <c r="X23" s="10">
        <f>IF(B21&lt;=0,0,X24-X22)</f>
        <v/>
      </c>
      <c r="Y23" s="10">
        <f>IF(B21&lt;=0,0,Y24-Y22)</f>
        <v/>
      </c>
      <c r="Z23" s="10">
        <f>IF(B21&lt;=0,0,Z24-Z22)</f>
        <v/>
      </c>
      <c r="AA23" s="10">
        <f>IF(B21&lt;=0,0,AA24-AA22)</f>
        <v/>
      </c>
    </row>
    <row r="24">
      <c r="A24" s="16" t="inlineStr">
        <is>
          <t>Total Payment — P&amp;I ($)</t>
        </is>
      </c>
      <c r="B24" s="10" t="n">
        <v>0</v>
      </c>
      <c r="C24" s="10">
        <f>IF(B21&lt;=0,0,ABS(PMT(Inputs!$C$11,Inputs!$C$13,B21,0)))</f>
        <v/>
      </c>
      <c r="D24" s="10">
        <f>IF(C21&lt;=0,0,ABS(PMT(Inputs!$C$11,Inputs!$C$13,B21,0)))</f>
        <v/>
      </c>
      <c r="E24" s="10">
        <f>IF(D21&lt;=0,0,ABS(PMT(Inputs!$C$11,Inputs!$C$13,B21,0)))</f>
        <v/>
      </c>
      <c r="F24" s="10">
        <f>IF(E21&lt;=0,0,ABS(PMT(Inputs!$C$11,Inputs!$C$13,B21,0)))</f>
        <v/>
      </c>
      <c r="G24" s="10">
        <f>IF(F21&lt;=0,0,ABS(PMT(Inputs!$C$11,Inputs!$C$13,B21,0)))</f>
        <v/>
      </c>
      <c r="H24" s="10">
        <f>IF(G21&lt;=0,0,ABS(PMT(Inputs!$C$11,Inputs!$C$13,B21,0)))</f>
        <v/>
      </c>
      <c r="I24" s="10">
        <f>IF(H21&lt;=0,0,ABS(PMT(Inputs!$C$11,Inputs!$C$13,B21,0)))</f>
        <v/>
      </c>
      <c r="J24" s="10">
        <f>IF(I21&lt;=0,0,ABS(PMT(Inputs!$C$11,Inputs!$C$13,B21,0)))</f>
        <v/>
      </c>
      <c r="K24" s="10">
        <f>IF(J21&lt;=0,0,ABS(PMT(Inputs!$C$11,Inputs!$C$13,B21,0)))</f>
        <v/>
      </c>
      <c r="L24" s="10">
        <f>IF(K21&lt;=0,0,ABS(PMT(Inputs!$C$11,Inputs!$C$13,B21,0)))</f>
        <v/>
      </c>
      <c r="M24" s="10">
        <f>IF(L21&lt;=0,0,ABS(PMT(Inputs!$C$11,Inputs!$C$13,B21,0)))</f>
        <v/>
      </c>
      <c r="N24" s="10">
        <f>IF(M21&lt;=0,0,ABS(PMT(Inputs!$C$11,Inputs!$C$13,B21,0)))</f>
        <v/>
      </c>
      <c r="O24" s="10">
        <f>IF(N21&lt;=0,0,ABS(PMT(Inputs!$C$11,Inputs!$C$13,B21,0)))</f>
        <v/>
      </c>
      <c r="P24" s="10">
        <f>IF(O21&lt;=0,0,ABS(PMT(Inputs!$C$11,Inputs!$C$13,B21,0)))</f>
        <v/>
      </c>
      <c r="Q24" s="10">
        <f>IF(P21&lt;=0,0,ABS(PMT(Inputs!$C$11,Inputs!$C$13,B21,0)))</f>
        <v/>
      </c>
      <c r="R24" s="10">
        <f>IF(Q21&lt;=0,0,ABS(PMT(Inputs!$C$11,Inputs!$C$13,B21,0)))</f>
        <v/>
      </c>
      <c r="S24" s="10">
        <f>IF(R21&lt;=0,0,ABS(PMT(Inputs!$C$11,Inputs!$C$13,B21,0)))</f>
        <v/>
      </c>
      <c r="T24" s="10">
        <f>IF(S21&lt;=0,0,ABS(PMT(Inputs!$C$11,Inputs!$C$13,B21,0)))</f>
        <v/>
      </c>
      <c r="U24" s="10">
        <f>IF(T21&lt;=0,0,ABS(PMT(Inputs!$C$11,Inputs!$C$13,B21,0)))</f>
        <v/>
      </c>
      <c r="V24" s="10">
        <f>IF(U21&lt;=0,0,ABS(PMT(Inputs!$C$11,Inputs!$C$13,B21,0)))</f>
        <v/>
      </c>
      <c r="W24" s="10">
        <f>IF(V21&lt;=0,0,ABS(PMT(Inputs!$C$11,Inputs!$C$13,B21,0)))</f>
        <v/>
      </c>
      <c r="X24" s="10">
        <f>IF(W21&lt;=0,0,ABS(PMT(Inputs!$C$11,Inputs!$C$13,B21,0)))</f>
        <v/>
      </c>
      <c r="Y24" s="10">
        <f>IF(X21&lt;=0,0,ABS(PMT(Inputs!$C$11,Inputs!$C$13,B21,0)))</f>
        <v/>
      </c>
      <c r="Z24" s="10">
        <f>IF(Y21&lt;=0,0,ABS(PMT(Inputs!$C$11,Inputs!$C$13,B21,0)))</f>
        <v/>
      </c>
      <c r="AA24" s="10">
        <f>IF(Z21&lt;=0,0,ABS(PMT(Inputs!$C$11,Inputs!$C$13,B21,0)))</f>
        <v/>
      </c>
      <c r="AB24" s="10">
        <f>SUM(C24:AA24)</f>
        <v/>
      </c>
      <c r="AC24" s="10">
        <f>NPV(Inputs!$C$12,C24:AA24)</f>
        <v/>
      </c>
    </row>
    <row r="26">
      <c r="A26" s="4" t="inlineStr">
        <is>
          <t>Elec. Bill — No System ($)</t>
        </is>
      </c>
      <c r="B26" s="10" t="n">
        <v>0</v>
      </c>
      <c r="C26" s="15">
        <f>Inputs!C27</f>
        <v/>
      </c>
      <c r="D26" s="10">
        <f>C26*(1+Inputs!$C$14)</f>
        <v/>
      </c>
      <c r="E26" s="10">
        <f>D26*(1+Inputs!$C$14)</f>
        <v/>
      </c>
      <c r="F26" s="10">
        <f>E26*(1+Inputs!$C$14)</f>
        <v/>
      </c>
      <c r="G26" s="10">
        <f>F26*(1+Inputs!$C$14)</f>
        <v/>
      </c>
      <c r="H26" s="10">
        <f>G26*(1+Inputs!$C$14)</f>
        <v/>
      </c>
      <c r="I26" s="10">
        <f>H26*(1+Inputs!$C$14)</f>
        <v/>
      </c>
      <c r="J26" s="10">
        <f>I26*(1+Inputs!$C$14)</f>
        <v/>
      </c>
      <c r="K26" s="10">
        <f>J26*(1+Inputs!$C$14)</f>
        <v/>
      </c>
      <c r="L26" s="10">
        <f>K26*(1+Inputs!$C$14)</f>
        <v/>
      </c>
      <c r="M26" s="10">
        <f>L26*(1+Inputs!$C$14)</f>
        <v/>
      </c>
      <c r="N26" s="10">
        <f>M26*(1+Inputs!$C$14)</f>
        <v/>
      </c>
      <c r="O26" s="10">
        <f>N26*(1+Inputs!$C$14)</f>
        <v/>
      </c>
      <c r="P26" s="10">
        <f>O26*(1+Inputs!$C$14)</f>
        <v/>
      </c>
      <c r="Q26" s="10">
        <f>P26*(1+Inputs!$C$14)</f>
        <v/>
      </c>
      <c r="R26" s="10">
        <f>Q26*(1+Inputs!$C$14)</f>
        <v/>
      </c>
      <c r="S26" s="10">
        <f>R26*(1+Inputs!$C$14)</f>
        <v/>
      </c>
      <c r="T26" s="10">
        <f>S26*(1+Inputs!$C$14)</f>
        <v/>
      </c>
      <c r="U26" s="10">
        <f>T26*(1+Inputs!$C$14)</f>
        <v/>
      </c>
      <c r="V26" s="10">
        <f>U26*(1+Inputs!$C$14)</f>
        <v/>
      </c>
      <c r="W26" s="10">
        <f>V26*(1+Inputs!$C$14)</f>
        <v/>
      </c>
      <c r="X26" s="10">
        <f>W26*(1+Inputs!$C$14)</f>
        <v/>
      </c>
      <c r="Y26" s="10">
        <f>X26*(1+Inputs!$C$14)</f>
        <v/>
      </c>
      <c r="Z26" s="10">
        <f>Y26*(1+Inputs!$C$14)</f>
        <v/>
      </c>
      <c r="AA26" s="10">
        <f>Z26*(1+Inputs!$C$14)</f>
        <v/>
      </c>
    </row>
    <row r="27">
      <c r="A27" s="4" t="inlineStr">
        <is>
          <t>Elec. Bill — With System ($)</t>
        </is>
      </c>
      <c r="B27" s="10" t="n">
        <v>0</v>
      </c>
      <c r="C27" s="15">
        <f>Inputs!D27</f>
        <v/>
      </c>
      <c r="D27" s="10">
        <f>C27*(1+Inputs!$C$14)</f>
        <v/>
      </c>
      <c r="E27" s="10">
        <f>D27*(1+Inputs!$C$14)</f>
        <v/>
      </c>
      <c r="F27" s="10">
        <f>E27*(1+Inputs!$C$14)</f>
        <v/>
      </c>
      <c r="G27" s="10">
        <f>F27*(1+Inputs!$C$14)</f>
        <v/>
      </c>
      <c r="H27" s="10">
        <f>G27*(1+Inputs!$C$14)</f>
        <v/>
      </c>
      <c r="I27" s="10">
        <f>H27*(1+Inputs!$C$14)</f>
        <v/>
      </c>
      <c r="J27" s="10">
        <f>I27*(1+Inputs!$C$14)</f>
        <v/>
      </c>
      <c r="K27" s="10">
        <f>J27*(1+Inputs!$C$14)</f>
        <v/>
      </c>
      <c r="L27" s="10">
        <f>K27*(1+Inputs!$C$14)</f>
        <v/>
      </c>
      <c r="M27" s="10">
        <f>L27*(1+Inputs!$C$14)</f>
        <v/>
      </c>
      <c r="N27" s="10">
        <f>M27*(1+Inputs!$C$14)</f>
        <v/>
      </c>
      <c r="O27" s="10">
        <f>N27*(1+Inputs!$C$14)</f>
        <v/>
      </c>
      <c r="P27" s="10">
        <f>O27*(1+Inputs!$C$14)</f>
        <v/>
      </c>
      <c r="Q27" s="10">
        <f>P27*(1+Inputs!$C$14)</f>
        <v/>
      </c>
      <c r="R27" s="10">
        <f>Q27*(1+Inputs!$C$14)</f>
        <v/>
      </c>
      <c r="S27" s="10">
        <f>R27*(1+Inputs!$C$14)</f>
        <v/>
      </c>
      <c r="T27" s="10">
        <f>S27*(1+Inputs!$C$14)</f>
        <v/>
      </c>
      <c r="U27" s="10">
        <f>T27*(1+Inputs!$C$14)</f>
        <v/>
      </c>
      <c r="V27" s="10">
        <f>U27*(1+Inputs!$C$14)</f>
        <v/>
      </c>
      <c r="W27" s="10">
        <f>V27*(1+Inputs!$C$14)</f>
        <v/>
      </c>
      <c r="X27" s="10">
        <f>W27*(1+Inputs!$C$14)</f>
        <v/>
      </c>
      <c r="Y27" s="10">
        <f>X27*(1+Inputs!$C$14)</f>
        <v/>
      </c>
      <c r="Z27" s="10">
        <f>Y27*(1+Inputs!$C$14)</f>
        <v/>
      </c>
      <c r="AA27" s="10">
        <f>Z27*(1+Inputs!$C$14)</f>
        <v/>
      </c>
    </row>
    <row r="28">
      <c r="A28" s="4" t="inlineStr">
        <is>
          <t>Bill Savings ($)</t>
        </is>
      </c>
      <c r="B28" s="10" t="n">
        <v>0</v>
      </c>
      <c r="C28" s="10">
        <f>C26-C27</f>
        <v/>
      </c>
      <c r="D28" s="10">
        <f>D26-D27</f>
        <v/>
      </c>
      <c r="E28" s="10">
        <f>E26-E27</f>
        <v/>
      </c>
      <c r="F28" s="10">
        <f>F26-F27</f>
        <v/>
      </c>
      <c r="G28" s="10">
        <f>G26-G27</f>
        <v/>
      </c>
      <c r="H28" s="10">
        <f>H26-H27</f>
        <v/>
      </c>
      <c r="I28" s="10">
        <f>I26-I27</f>
        <v/>
      </c>
      <c r="J28" s="10">
        <f>J26-J27</f>
        <v/>
      </c>
      <c r="K28" s="10">
        <f>K26-K27</f>
        <v/>
      </c>
      <c r="L28" s="10">
        <f>L26-L27</f>
        <v/>
      </c>
      <c r="M28" s="10">
        <f>M26-M27</f>
        <v/>
      </c>
      <c r="N28" s="10">
        <f>N26-N27</f>
        <v/>
      </c>
      <c r="O28" s="10">
        <f>O26-O27</f>
        <v/>
      </c>
      <c r="P28" s="10">
        <f>P26-P27</f>
        <v/>
      </c>
      <c r="Q28" s="10">
        <f>Q26-Q27</f>
        <v/>
      </c>
      <c r="R28" s="10">
        <f>R26-R27</f>
        <v/>
      </c>
      <c r="S28" s="10">
        <f>S26-S27</f>
        <v/>
      </c>
      <c r="T28" s="10">
        <f>T26-T27</f>
        <v/>
      </c>
      <c r="U28" s="10">
        <f>U26-U27</f>
        <v/>
      </c>
      <c r="V28" s="10">
        <f>V26-V27</f>
        <v/>
      </c>
      <c r="W28" s="10">
        <f>W26-W27</f>
        <v/>
      </c>
      <c r="X28" s="10">
        <f>X26-X27</f>
        <v/>
      </c>
      <c r="Y28" s="10">
        <f>Y26-Y27</f>
        <v/>
      </c>
      <c r="Z28" s="10">
        <f>Z26-Z27</f>
        <v/>
      </c>
      <c r="AA28" s="10">
        <f>AA26-AA27</f>
        <v/>
      </c>
      <c r="AB28" s="10">
        <f>SUM(C28:AA28)</f>
        <v/>
      </c>
      <c r="AC28" s="10">
        <f>NPV(Inputs!$C$12,C28:AA28)</f>
        <v/>
      </c>
    </row>
    <row r="29">
      <c r="A29" s="4" t="inlineStr">
        <is>
          <t>Incentive Savings — Annual ($)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10">
        <f>SUM(C29:AA29)</f>
        <v/>
      </c>
      <c r="AC29" s="10">
        <f>NPV(Inputs!$C$12,C29:AA29)</f>
        <v/>
      </c>
    </row>
    <row r="30">
      <c r="A30" s="16" t="inlineStr">
        <is>
          <t>Total Savings ($)</t>
        </is>
      </c>
      <c r="B30" s="10">
        <f>B28+B29</f>
        <v/>
      </c>
      <c r="C30" s="10">
        <f>C28+C29</f>
        <v/>
      </c>
      <c r="D30" s="10">
        <f>D28+D29</f>
        <v/>
      </c>
      <c r="E30" s="10">
        <f>E28+E29</f>
        <v/>
      </c>
      <c r="F30" s="10">
        <f>F28+F29</f>
        <v/>
      </c>
      <c r="G30" s="10">
        <f>G28+G29</f>
        <v/>
      </c>
      <c r="H30" s="10">
        <f>H28+H29</f>
        <v/>
      </c>
      <c r="I30" s="10">
        <f>I28+I29</f>
        <v/>
      </c>
      <c r="J30" s="10">
        <f>J28+J29</f>
        <v/>
      </c>
      <c r="K30" s="10">
        <f>K28+K29</f>
        <v/>
      </c>
      <c r="L30" s="10">
        <f>L28+L29</f>
        <v/>
      </c>
      <c r="M30" s="10">
        <f>M28+M29</f>
        <v/>
      </c>
      <c r="N30" s="10">
        <f>N28+N29</f>
        <v/>
      </c>
      <c r="O30" s="10">
        <f>O28+O29</f>
        <v/>
      </c>
      <c r="P30" s="10">
        <f>P28+P29</f>
        <v/>
      </c>
      <c r="Q30" s="10">
        <f>Q28+Q29</f>
        <v/>
      </c>
      <c r="R30" s="10">
        <f>R28+R29</f>
        <v/>
      </c>
      <c r="S30" s="10">
        <f>S28+S29</f>
        <v/>
      </c>
      <c r="T30" s="10">
        <f>T28+T29</f>
        <v/>
      </c>
      <c r="U30" s="10">
        <f>U28+U29</f>
        <v/>
      </c>
      <c r="V30" s="10">
        <f>V28+V29</f>
        <v/>
      </c>
      <c r="W30" s="10">
        <f>W28+W29</f>
        <v/>
      </c>
      <c r="X30" s="10">
        <f>X28+X29</f>
        <v/>
      </c>
      <c r="Y30" s="10">
        <f>Y28+Y29</f>
        <v/>
      </c>
      <c r="Z30" s="10">
        <f>Z28+Z29</f>
        <v/>
      </c>
      <c r="AA30" s="10">
        <f>AA28+AA29</f>
        <v/>
      </c>
      <c r="AB30" s="10">
        <f>SUM(C30:AA30)</f>
        <v/>
      </c>
      <c r="AC30" s="10">
        <f>NPV(Inputs!$C$12,C30:AA30)</f>
        <v/>
      </c>
    </row>
    <row r="31">
      <c r="A31" s="17" t="inlineStr">
        <is>
          <t>Net Savings ($)</t>
        </is>
      </c>
      <c r="B31" s="18">
        <f>B30-B24</f>
        <v/>
      </c>
      <c r="C31" s="18">
        <f>C30-C24</f>
        <v/>
      </c>
      <c r="D31" s="18">
        <f>D30-D24</f>
        <v/>
      </c>
      <c r="E31" s="18">
        <f>E30-E24</f>
        <v/>
      </c>
      <c r="F31" s="18">
        <f>F30-F24</f>
        <v/>
      </c>
      <c r="G31" s="18">
        <f>G30-G24</f>
        <v/>
      </c>
      <c r="H31" s="18">
        <f>H30-H24</f>
        <v/>
      </c>
      <c r="I31" s="18">
        <f>I30-I24</f>
        <v/>
      </c>
      <c r="J31" s="18">
        <f>J30-J24</f>
        <v/>
      </c>
      <c r="K31" s="18">
        <f>K30-K24</f>
        <v/>
      </c>
      <c r="L31" s="18">
        <f>L30-L24</f>
        <v/>
      </c>
      <c r="M31" s="18">
        <f>M30-M24</f>
        <v/>
      </c>
      <c r="N31" s="18">
        <f>N30-N24</f>
        <v/>
      </c>
      <c r="O31" s="18">
        <f>O30-O24</f>
        <v/>
      </c>
      <c r="P31" s="18">
        <f>P30-P24</f>
        <v/>
      </c>
      <c r="Q31" s="18">
        <f>Q30-Q24</f>
        <v/>
      </c>
      <c r="R31" s="18">
        <f>R30-R24</f>
        <v/>
      </c>
      <c r="S31" s="18">
        <f>S30-S24</f>
        <v/>
      </c>
      <c r="T31" s="18">
        <f>T30-T24</f>
        <v/>
      </c>
      <c r="U31" s="18">
        <f>U30-U24</f>
        <v/>
      </c>
      <c r="V31" s="18">
        <f>V30-V24</f>
        <v/>
      </c>
      <c r="W31" s="18">
        <f>W30-W24</f>
        <v/>
      </c>
      <c r="X31" s="18">
        <f>X30-X24</f>
        <v/>
      </c>
      <c r="Y31" s="18">
        <f>Y30-Y24</f>
        <v/>
      </c>
      <c r="Z31" s="18">
        <f>Z30-Z24</f>
        <v/>
      </c>
      <c r="AA31" s="18">
        <f>AA30-AA24</f>
        <v/>
      </c>
      <c r="AB31" s="18">
        <f>SUM(C31:AA31)</f>
        <v/>
      </c>
      <c r="AC31" s="18">
        <f>NPV(Inputs!$C$12,C31:AA31)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D7D31"/>
    <outlinePr summaryBelow="1" summaryRight="1"/>
    <pageSetUpPr/>
  </sheetPr>
  <dimension ref="A1:AC31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12" customWidth="1" min="2" max="29"/>
  </cols>
  <sheetData>
    <row r="1" ht="18" customHeight="1">
      <c r="A1" s="1" t="inlineStr">
        <is>
          <t>Solar Only — Bridge (NMB/TOU) Rate</t>
        </is>
      </c>
    </row>
    <row r="2">
      <c r="A2" s="2" t="inlineStr">
        <is>
          <t>All formulas reference Inputs sheet</t>
        </is>
      </c>
    </row>
    <row r="4" ht="16" customHeight="1">
      <c r="A4" s="3" t="inlineStr">
        <is>
          <t>Scenario 1: With FedITC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Inputs!C6-Inputs!C19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— P&amp;I ($)</t>
        </is>
      </c>
      <c r="B9" s="10" t="n">
        <v>0</v>
      </c>
      <c r="C9" s="10">
        <f>IF(B6&lt;=0,0,ABS(PMT(Inputs!$C$11,Inputs!$C$13,B6,0)))</f>
        <v/>
      </c>
      <c r="D9" s="10">
        <f>IF(C6&lt;=0,0,ABS(PMT(Inputs!$C$11,Inputs!$C$13,B6,0)))</f>
        <v/>
      </c>
      <c r="E9" s="10">
        <f>IF(D6&lt;=0,0,ABS(PMT(Inputs!$C$11,Inputs!$C$13,B6,0)))</f>
        <v/>
      </c>
      <c r="F9" s="10">
        <f>IF(E6&lt;=0,0,ABS(PMT(Inputs!$C$11,Inputs!$C$13,B6,0)))</f>
        <v/>
      </c>
      <c r="G9" s="10">
        <f>IF(F6&lt;=0,0,ABS(PMT(Inputs!$C$11,Inputs!$C$13,B6,0)))</f>
        <v/>
      </c>
      <c r="H9" s="10">
        <f>IF(G6&lt;=0,0,ABS(PMT(Inputs!$C$11,Inputs!$C$13,B6,0)))</f>
        <v/>
      </c>
      <c r="I9" s="10">
        <f>IF(H6&lt;=0,0,ABS(PMT(Inputs!$C$11,Inputs!$C$13,B6,0)))</f>
        <v/>
      </c>
      <c r="J9" s="10">
        <f>IF(I6&lt;=0,0,ABS(PMT(Inputs!$C$11,Inputs!$C$13,B6,0)))</f>
        <v/>
      </c>
      <c r="K9" s="10">
        <f>IF(J6&lt;=0,0,ABS(PMT(Inputs!$C$11,Inputs!$C$13,B6,0)))</f>
        <v/>
      </c>
      <c r="L9" s="10">
        <f>IF(K6&lt;=0,0,ABS(PMT(Inputs!$C$11,Inputs!$C$13,B6,0)))</f>
        <v/>
      </c>
      <c r="M9" s="10">
        <f>IF(L6&lt;=0,0,ABS(PMT(Inputs!$C$11,Inputs!$C$13,B6,0)))</f>
        <v/>
      </c>
      <c r="N9" s="10">
        <f>IF(M6&lt;=0,0,ABS(PMT(Inputs!$C$11,Inputs!$C$13,B6,0)))</f>
        <v/>
      </c>
      <c r="O9" s="10">
        <f>IF(N6&lt;=0,0,ABS(PMT(Inputs!$C$11,Inputs!$C$13,B6,0)))</f>
        <v/>
      </c>
      <c r="P9" s="10">
        <f>IF(O6&lt;=0,0,ABS(PMT(Inputs!$C$11,Inputs!$C$13,B6,0)))</f>
        <v/>
      </c>
      <c r="Q9" s="10">
        <f>IF(P6&lt;=0,0,ABS(PMT(Inputs!$C$11,Inputs!$C$13,B6,0)))</f>
        <v/>
      </c>
      <c r="R9" s="10">
        <f>IF(Q6&lt;=0,0,ABS(PMT(Inputs!$C$11,Inputs!$C$13,B6,0)))</f>
        <v/>
      </c>
      <c r="S9" s="10">
        <f>IF(R6&lt;=0,0,ABS(PMT(Inputs!$C$11,Inputs!$C$13,B6,0)))</f>
        <v/>
      </c>
      <c r="T9" s="10">
        <f>IF(S6&lt;=0,0,ABS(PMT(Inputs!$C$11,Inputs!$C$13,B6,0)))</f>
        <v/>
      </c>
      <c r="U9" s="10">
        <f>IF(T6&lt;=0,0,ABS(PMT(Inputs!$C$11,Inputs!$C$13,B6,0)))</f>
        <v/>
      </c>
      <c r="V9" s="10">
        <f>IF(U6&lt;=0,0,ABS(PMT(Inputs!$C$11,Inputs!$C$13,B6,0)))</f>
        <v/>
      </c>
      <c r="W9" s="10">
        <f>IF(V6&lt;=0,0,ABS(PMT(Inputs!$C$11,Inputs!$C$13,B6,0)))</f>
        <v/>
      </c>
      <c r="X9" s="10">
        <f>IF(W6&lt;=0,0,ABS(PMT(Inputs!$C$11,Inputs!$C$13,B6,0)))</f>
        <v/>
      </c>
      <c r="Y9" s="10">
        <f>IF(X6&lt;=0,0,ABS(PMT(Inputs!$C$11,Inputs!$C$13,B6,0)))</f>
        <v/>
      </c>
      <c r="Z9" s="10">
        <f>IF(Y6&lt;=0,0,ABS(PMT(Inputs!$C$11,Inputs!$C$13,B6,0)))</f>
        <v/>
      </c>
      <c r="AA9" s="10">
        <f>IF(Z6&lt;=0,0,ABS(PMT(Inputs!$C$11,Inputs!$C$13,B6,0)))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— No System ($)</t>
        </is>
      </c>
      <c r="B11" s="10" t="n">
        <v>0</v>
      </c>
      <c r="C11" s="15">
        <f>Inputs!C28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— With System ($)</t>
        </is>
      </c>
      <c r="B12" s="10" t="n">
        <v>0</v>
      </c>
      <c r="C12" s="15">
        <f>Inputs!D28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4" t="inlineStr">
        <is>
          <t>Incentive Savings — Annual ($)</t>
        </is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>
        <f>SUM(C14:AA14)</f>
        <v/>
      </c>
      <c r="AC14" s="10">
        <f>NPV(Inputs!$C$12,C14:AA14)</f>
        <v/>
      </c>
    </row>
    <row r="15">
      <c r="A15" s="16" t="inlineStr">
        <is>
          <t>Total Savings ($)</t>
        </is>
      </c>
      <c r="B15" s="10">
        <f>B13+B14</f>
        <v/>
      </c>
      <c r="C15" s="10">
        <f>C13+C14</f>
        <v/>
      </c>
      <c r="D15" s="10">
        <f>D13+D14</f>
        <v/>
      </c>
      <c r="E15" s="10">
        <f>E13+E14</f>
        <v/>
      </c>
      <c r="F15" s="10">
        <f>F13+F14</f>
        <v/>
      </c>
      <c r="G15" s="10">
        <f>G13+G14</f>
        <v/>
      </c>
      <c r="H15" s="10">
        <f>H13+H14</f>
        <v/>
      </c>
      <c r="I15" s="10">
        <f>I13+I14</f>
        <v/>
      </c>
      <c r="J15" s="10">
        <f>J13+J14</f>
        <v/>
      </c>
      <c r="K15" s="10">
        <f>K13+K14</f>
        <v/>
      </c>
      <c r="L15" s="10">
        <f>L13+L14</f>
        <v/>
      </c>
      <c r="M15" s="10">
        <f>M13+M14</f>
        <v/>
      </c>
      <c r="N15" s="10">
        <f>N13+N14</f>
        <v/>
      </c>
      <c r="O15" s="10">
        <f>O13+O14</f>
        <v/>
      </c>
      <c r="P15" s="10">
        <f>P13+P14</f>
        <v/>
      </c>
      <c r="Q15" s="10">
        <f>Q13+Q14</f>
        <v/>
      </c>
      <c r="R15" s="10">
        <f>R13+R14</f>
        <v/>
      </c>
      <c r="S15" s="10">
        <f>S13+S14</f>
        <v/>
      </c>
      <c r="T15" s="10">
        <f>T13+T14</f>
        <v/>
      </c>
      <c r="U15" s="10">
        <f>U13+U14</f>
        <v/>
      </c>
      <c r="V15" s="10">
        <f>V13+V14</f>
        <v/>
      </c>
      <c r="W15" s="10">
        <f>W13+W14</f>
        <v/>
      </c>
      <c r="X15" s="10">
        <f>X13+X14</f>
        <v/>
      </c>
      <c r="Y15" s="10">
        <f>Y13+Y14</f>
        <v/>
      </c>
      <c r="Z15" s="10">
        <f>Z13+Z14</f>
        <v/>
      </c>
      <c r="AA15" s="10">
        <f>AA13+AA14</f>
        <v/>
      </c>
      <c r="AB15" s="10">
        <f>SUM(C15:AA15)</f>
        <v/>
      </c>
      <c r="AC15" s="10">
        <f>NPV(Inputs!$C$12,C15:AA15)</f>
        <v/>
      </c>
    </row>
    <row r="16">
      <c r="A16" s="17" t="inlineStr">
        <is>
          <t>Net Savings ($)</t>
        </is>
      </c>
      <c r="B16" s="18">
        <f>B15-B9</f>
        <v/>
      </c>
      <c r="C16" s="18">
        <f>C15-C9</f>
        <v/>
      </c>
      <c r="D16" s="18">
        <f>D15-D9</f>
        <v/>
      </c>
      <c r="E16" s="18">
        <f>E15-E9</f>
        <v/>
      </c>
      <c r="F16" s="18">
        <f>F15-F9</f>
        <v/>
      </c>
      <c r="G16" s="18">
        <f>G15-G9</f>
        <v/>
      </c>
      <c r="H16" s="18">
        <f>H15-H9</f>
        <v/>
      </c>
      <c r="I16" s="18">
        <f>I15-I9</f>
        <v/>
      </c>
      <c r="J16" s="18">
        <f>J15-J9</f>
        <v/>
      </c>
      <c r="K16" s="18">
        <f>K15-K9</f>
        <v/>
      </c>
      <c r="L16" s="18">
        <f>L15-L9</f>
        <v/>
      </c>
      <c r="M16" s="18">
        <f>M15-M9</f>
        <v/>
      </c>
      <c r="N16" s="18">
        <f>N15-N9</f>
        <v/>
      </c>
      <c r="O16" s="18">
        <f>O15-O9</f>
        <v/>
      </c>
      <c r="P16" s="18">
        <f>P15-P9</f>
        <v/>
      </c>
      <c r="Q16" s="18">
        <f>Q15-Q9</f>
        <v/>
      </c>
      <c r="R16" s="18">
        <f>R15-R9</f>
        <v/>
      </c>
      <c r="S16" s="18">
        <f>S15-S9</f>
        <v/>
      </c>
      <c r="T16" s="18">
        <f>T15-T9</f>
        <v/>
      </c>
      <c r="U16" s="18">
        <f>U15-U9</f>
        <v/>
      </c>
      <c r="V16" s="18">
        <f>V15-V9</f>
        <v/>
      </c>
      <c r="W16" s="18">
        <f>W15-W9</f>
        <v/>
      </c>
      <c r="X16" s="18">
        <f>X15-X9</f>
        <v/>
      </c>
      <c r="Y16" s="18">
        <f>Y15-Y9</f>
        <v/>
      </c>
      <c r="Z16" s="18">
        <f>Z15-Z9</f>
        <v/>
      </c>
      <c r="AA16" s="18">
        <f>AA15-AA9</f>
        <v/>
      </c>
      <c r="AB16" s="18">
        <f>SUM(C16:AA16)</f>
        <v/>
      </c>
      <c r="AC16" s="18">
        <f>NPV(Inputs!$C$12,C16:AA16)</f>
        <v/>
      </c>
    </row>
    <row r="19" ht="16" customHeight="1">
      <c r="A19" s="3" t="inlineStr">
        <is>
          <t>Scenario 2: No Incentives</t>
        </is>
      </c>
    </row>
    <row r="20">
      <c r="A20" s="13" t="inlineStr">
        <is>
          <t>Year</t>
        </is>
      </c>
      <c r="B20" s="14" t="n">
        <v>0</v>
      </c>
      <c r="C20" s="14" t="n">
        <v>1</v>
      </c>
      <c r="D20" s="14" t="n">
        <v>2</v>
      </c>
      <c r="E20" s="14" t="n">
        <v>3</v>
      </c>
      <c r="F20" s="14" t="n">
        <v>4</v>
      </c>
      <c r="G20" s="14" t="n">
        <v>5</v>
      </c>
      <c r="H20" s="14" t="n">
        <v>6</v>
      </c>
      <c r="I20" s="14" t="n">
        <v>7</v>
      </c>
      <c r="J20" s="14" t="n">
        <v>8</v>
      </c>
      <c r="K20" s="14" t="n">
        <v>9</v>
      </c>
      <c r="L20" s="14" t="n">
        <v>10</v>
      </c>
      <c r="M20" s="14" t="n">
        <v>11</v>
      </c>
      <c r="N20" s="14" t="n">
        <v>12</v>
      </c>
      <c r="O20" s="14" t="n">
        <v>13</v>
      </c>
      <c r="P20" s="14" t="n">
        <v>14</v>
      </c>
      <c r="Q20" s="14" t="n">
        <v>15</v>
      </c>
      <c r="R20" s="14" t="n">
        <v>16</v>
      </c>
      <c r="S20" s="14" t="n">
        <v>17</v>
      </c>
      <c r="T20" s="14" t="n">
        <v>18</v>
      </c>
      <c r="U20" s="14" t="n">
        <v>19</v>
      </c>
      <c r="V20" s="14" t="n">
        <v>20</v>
      </c>
      <c r="W20" s="14" t="n">
        <v>21</v>
      </c>
      <c r="X20" s="14" t="n">
        <v>22</v>
      </c>
      <c r="Y20" s="14" t="n">
        <v>23</v>
      </c>
      <c r="Z20" s="14" t="n">
        <v>24</v>
      </c>
      <c r="AA20" s="14" t="n">
        <v>25</v>
      </c>
      <c r="AB20" s="13" t="inlineStr">
        <is>
          <t>25yr Total</t>
        </is>
      </c>
      <c r="AC20" s="13" t="inlineStr">
        <is>
          <t>25yr NPV</t>
        </is>
      </c>
    </row>
    <row r="21">
      <c r="A21" s="4" t="inlineStr">
        <is>
          <t>Debt Balance ($)</t>
        </is>
      </c>
      <c r="B21" s="15">
        <f>Inputs!C6</f>
        <v/>
      </c>
      <c r="C21" s="10">
        <f>MAX(0,B21-C23)</f>
        <v/>
      </c>
      <c r="D21" s="10">
        <f>MAX(0,C21-D23)</f>
        <v/>
      </c>
      <c r="E21" s="10">
        <f>MAX(0,D21-E23)</f>
        <v/>
      </c>
      <c r="F21" s="10">
        <f>MAX(0,E21-F23)</f>
        <v/>
      </c>
      <c r="G21" s="10">
        <f>MAX(0,F21-G23)</f>
        <v/>
      </c>
      <c r="H21" s="10">
        <f>MAX(0,G21-H23)</f>
        <v/>
      </c>
      <c r="I21" s="10">
        <f>MAX(0,H21-I23)</f>
        <v/>
      </c>
      <c r="J21" s="10">
        <f>MAX(0,I21-J23)</f>
        <v/>
      </c>
      <c r="K21" s="10">
        <f>MAX(0,J21-K23)</f>
        <v/>
      </c>
      <c r="L21" s="10">
        <f>MAX(0,K21-L23)</f>
        <v/>
      </c>
      <c r="M21" s="10">
        <f>MAX(0,L21-M23)</f>
        <v/>
      </c>
      <c r="N21" s="10">
        <f>MAX(0,M21-N23)</f>
        <v/>
      </c>
      <c r="O21" s="10">
        <f>MAX(0,N21-O23)</f>
        <v/>
      </c>
      <c r="P21" s="10">
        <f>MAX(0,O21-P23)</f>
        <v/>
      </c>
      <c r="Q21" s="10">
        <f>MAX(0,P21-Q23)</f>
        <v/>
      </c>
      <c r="R21" s="10">
        <f>MAX(0,Q21-R23)</f>
        <v/>
      </c>
      <c r="S21" s="10">
        <f>MAX(0,R21-S23)</f>
        <v/>
      </c>
      <c r="T21" s="10">
        <f>MAX(0,S21-T23)</f>
        <v/>
      </c>
      <c r="U21" s="10">
        <f>MAX(0,T21-U23)</f>
        <v/>
      </c>
      <c r="V21" s="10">
        <f>MAX(0,U21-V23)</f>
        <v/>
      </c>
      <c r="W21" s="10">
        <f>MAX(0,V21-W23)</f>
        <v/>
      </c>
      <c r="X21" s="10">
        <f>MAX(0,W21-X23)</f>
        <v/>
      </c>
      <c r="Y21" s="10">
        <f>MAX(0,X21-Y23)</f>
        <v/>
      </c>
      <c r="Z21" s="10">
        <f>MAX(0,Y21-Z23)</f>
        <v/>
      </c>
      <c r="AA21" s="10">
        <f>MAX(0,Z21-AA23)</f>
        <v/>
      </c>
    </row>
    <row r="22">
      <c r="A22" s="4" t="inlineStr">
        <is>
          <t>Interest Payment ($)</t>
        </is>
      </c>
      <c r="B22" s="10" t="n">
        <v>0</v>
      </c>
      <c r="C22" s="10">
        <f>IF(B21&lt;=0,0,B21*Inputs!$C$11)</f>
        <v/>
      </c>
      <c r="D22" s="10">
        <f>IF(C21&lt;=0,0,C21*Inputs!$C$11)</f>
        <v/>
      </c>
      <c r="E22" s="10">
        <f>IF(D21&lt;=0,0,D21*Inputs!$C$11)</f>
        <v/>
      </c>
      <c r="F22" s="10">
        <f>IF(E21&lt;=0,0,E21*Inputs!$C$11)</f>
        <v/>
      </c>
      <c r="G22" s="10">
        <f>IF(F21&lt;=0,0,F21*Inputs!$C$11)</f>
        <v/>
      </c>
      <c r="H22" s="10">
        <f>IF(G21&lt;=0,0,G21*Inputs!$C$11)</f>
        <v/>
      </c>
      <c r="I22" s="10">
        <f>IF(H21&lt;=0,0,H21*Inputs!$C$11)</f>
        <v/>
      </c>
      <c r="J22" s="10">
        <f>IF(I21&lt;=0,0,I21*Inputs!$C$11)</f>
        <v/>
      </c>
      <c r="K22" s="10">
        <f>IF(J21&lt;=0,0,J21*Inputs!$C$11)</f>
        <v/>
      </c>
      <c r="L22" s="10">
        <f>IF(K21&lt;=0,0,K21*Inputs!$C$11)</f>
        <v/>
      </c>
      <c r="M22" s="10">
        <f>IF(L21&lt;=0,0,L21*Inputs!$C$11)</f>
        <v/>
      </c>
      <c r="N22" s="10">
        <f>IF(M21&lt;=0,0,M21*Inputs!$C$11)</f>
        <v/>
      </c>
      <c r="O22" s="10">
        <f>IF(N21&lt;=0,0,N21*Inputs!$C$11)</f>
        <v/>
      </c>
      <c r="P22" s="10">
        <f>IF(O21&lt;=0,0,O21*Inputs!$C$11)</f>
        <v/>
      </c>
      <c r="Q22" s="10">
        <f>IF(P21&lt;=0,0,P21*Inputs!$C$11)</f>
        <v/>
      </c>
      <c r="R22" s="10">
        <f>IF(Q21&lt;=0,0,Q21*Inputs!$C$11)</f>
        <v/>
      </c>
      <c r="S22" s="10">
        <f>IF(R21&lt;=0,0,R21*Inputs!$C$11)</f>
        <v/>
      </c>
      <c r="T22" s="10">
        <f>IF(S21&lt;=0,0,S21*Inputs!$C$11)</f>
        <v/>
      </c>
      <c r="U22" s="10">
        <f>IF(T21&lt;=0,0,T21*Inputs!$C$11)</f>
        <v/>
      </c>
      <c r="V22" s="10">
        <f>IF(U21&lt;=0,0,U21*Inputs!$C$11)</f>
        <v/>
      </c>
      <c r="W22" s="10">
        <f>IF(V21&lt;=0,0,V21*Inputs!$C$11)</f>
        <v/>
      </c>
      <c r="X22" s="10">
        <f>IF(W21&lt;=0,0,W21*Inputs!$C$11)</f>
        <v/>
      </c>
      <c r="Y22" s="10">
        <f>IF(X21&lt;=0,0,X21*Inputs!$C$11)</f>
        <v/>
      </c>
      <c r="Z22" s="10">
        <f>IF(Y21&lt;=0,0,Y21*Inputs!$C$11)</f>
        <v/>
      </c>
      <c r="AA22" s="10">
        <f>IF(Z21&lt;=0,0,Z21*Inputs!$C$11)</f>
        <v/>
      </c>
    </row>
    <row r="23">
      <c r="A23" s="4" t="inlineStr">
        <is>
          <t>Principal Payment ($)</t>
        </is>
      </c>
      <c r="B23" s="10" t="n">
        <v>0</v>
      </c>
      <c r="C23" s="10">
        <f>IF(B21&lt;=0,0,C24-C22)</f>
        <v/>
      </c>
      <c r="D23" s="10">
        <f>IF(B21&lt;=0,0,D24-D22)</f>
        <v/>
      </c>
      <c r="E23" s="10">
        <f>IF(B21&lt;=0,0,E24-E22)</f>
        <v/>
      </c>
      <c r="F23" s="10">
        <f>IF(B21&lt;=0,0,F24-F22)</f>
        <v/>
      </c>
      <c r="G23" s="10">
        <f>IF(B21&lt;=0,0,G24-G22)</f>
        <v/>
      </c>
      <c r="H23" s="10">
        <f>IF(B21&lt;=0,0,H24-H22)</f>
        <v/>
      </c>
      <c r="I23" s="10">
        <f>IF(B21&lt;=0,0,I24-I22)</f>
        <v/>
      </c>
      <c r="J23" s="10">
        <f>IF(B21&lt;=0,0,J24-J22)</f>
        <v/>
      </c>
      <c r="K23" s="10">
        <f>IF(B21&lt;=0,0,K24-K22)</f>
        <v/>
      </c>
      <c r="L23" s="10">
        <f>IF(B21&lt;=0,0,L24-L22)</f>
        <v/>
      </c>
      <c r="M23" s="10">
        <f>IF(B21&lt;=0,0,M24-M22)</f>
        <v/>
      </c>
      <c r="N23" s="10">
        <f>IF(B21&lt;=0,0,N24-N22)</f>
        <v/>
      </c>
      <c r="O23" s="10">
        <f>IF(B21&lt;=0,0,O24-O22)</f>
        <v/>
      </c>
      <c r="P23" s="10">
        <f>IF(B21&lt;=0,0,P24-P22)</f>
        <v/>
      </c>
      <c r="Q23" s="10">
        <f>IF(B21&lt;=0,0,Q24-Q22)</f>
        <v/>
      </c>
      <c r="R23" s="10">
        <f>IF(B21&lt;=0,0,R24-R22)</f>
        <v/>
      </c>
      <c r="S23" s="10">
        <f>IF(B21&lt;=0,0,S24-S22)</f>
        <v/>
      </c>
      <c r="T23" s="10">
        <f>IF(B21&lt;=0,0,T24-T22)</f>
        <v/>
      </c>
      <c r="U23" s="10">
        <f>IF(B21&lt;=0,0,U24-U22)</f>
        <v/>
      </c>
      <c r="V23" s="10">
        <f>IF(B21&lt;=0,0,V24-V22)</f>
        <v/>
      </c>
      <c r="W23" s="10">
        <f>IF(B21&lt;=0,0,W24-W22)</f>
        <v/>
      </c>
      <c r="X23" s="10">
        <f>IF(B21&lt;=0,0,X24-X22)</f>
        <v/>
      </c>
      <c r="Y23" s="10">
        <f>IF(B21&lt;=0,0,Y24-Y22)</f>
        <v/>
      </c>
      <c r="Z23" s="10">
        <f>IF(B21&lt;=0,0,Z24-Z22)</f>
        <v/>
      </c>
      <c r="AA23" s="10">
        <f>IF(B21&lt;=0,0,AA24-AA22)</f>
        <v/>
      </c>
    </row>
    <row r="24">
      <c r="A24" s="16" t="inlineStr">
        <is>
          <t>Total Payment — P&amp;I ($)</t>
        </is>
      </c>
      <c r="B24" s="10" t="n">
        <v>0</v>
      </c>
      <c r="C24" s="10">
        <f>IF(B21&lt;=0,0,ABS(PMT(Inputs!$C$11,Inputs!$C$13,B21,0)))</f>
        <v/>
      </c>
      <c r="D24" s="10">
        <f>IF(C21&lt;=0,0,ABS(PMT(Inputs!$C$11,Inputs!$C$13,B21,0)))</f>
        <v/>
      </c>
      <c r="E24" s="10">
        <f>IF(D21&lt;=0,0,ABS(PMT(Inputs!$C$11,Inputs!$C$13,B21,0)))</f>
        <v/>
      </c>
      <c r="F24" s="10">
        <f>IF(E21&lt;=0,0,ABS(PMT(Inputs!$C$11,Inputs!$C$13,B21,0)))</f>
        <v/>
      </c>
      <c r="G24" s="10">
        <f>IF(F21&lt;=0,0,ABS(PMT(Inputs!$C$11,Inputs!$C$13,B21,0)))</f>
        <v/>
      </c>
      <c r="H24" s="10">
        <f>IF(G21&lt;=0,0,ABS(PMT(Inputs!$C$11,Inputs!$C$13,B21,0)))</f>
        <v/>
      </c>
      <c r="I24" s="10">
        <f>IF(H21&lt;=0,0,ABS(PMT(Inputs!$C$11,Inputs!$C$13,B21,0)))</f>
        <v/>
      </c>
      <c r="J24" s="10">
        <f>IF(I21&lt;=0,0,ABS(PMT(Inputs!$C$11,Inputs!$C$13,B21,0)))</f>
        <v/>
      </c>
      <c r="K24" s="10">
        <f>IF(J21&lt;=0,0,ABS(PMT(Inputs!$C$11,Inputs!$C$13,B21,0)))</f>
        <v/>
      </c>
      <c r="L24" s="10">
        <f>IF(K21&lt;=0,0,ABS(PMT(Inputs!$C$11,Inputs!$C$13,B21,0)))</f>
        <v/>
      </c>
      <c r="M24" s="10">
        <f>IF(L21&lt;=0,0,ABS(PMT(Inputs!$C$11,Inputs!$C$13,B21,0)))</f>
        <v/>
      </c>
      <c r="N24" s="10">
        <f>IF(M21&lt;=0,0,ABS(PMT(Inputs!$C$11,Inputs!$C$13,B21,0)))</f>
        <v/>
      </c>
      <c r="O24" s="10">
        <f>IF(N21&lt;=0,0,ABS(PMT(Inputs!$C$11,Inputs!$C$13,B21,0)))</f>
        <v/>
      </c>
      <c r="P24" s="10">
        <f>IF(O21&lt;=0,0,ABS(PMT(Inputs!$C$11,Inputs!$C$13,B21,0)))</f>
        <v/>
      </c>
      <c r="Q24" s="10">
        <f>IF(P21&lt;=0,0,ABS(PMT(Inputs!$C$11,Inputs!$C$13,B21,0)))</f>
        <v/>
      </c>
      <c r="R24" s="10">
        <f>IF(Q21&lt;=0,0,ABS(PMT(Inputs!$C$11,Inputs!$C$13,B21,0)))</f>
        <v/>
      </c>
      <c r="S24" s="10">
        <f>IF(R21&lt;=0,0,ABS(PMT(Inputs!$C$11,Inputs!$C$13,B21,0)))</f>
        <v/>
      </c>
      <c r="T24" s="10">
        <f>IF(S21&lt;=0,0,ABS(PMT(Inputs!$C$11,Inputs!$C$13,B21,0)))</f>
        <v/>
      </c>
      <c r="U24" s="10">
        <f>IF(T21&lt;=0,0,ABS(PMT(Inputs!$C$11,Inputs!$C$13,B21,0)))</f>
        <v/>
      </c>
      <c r="V24" s="10">
        <f>IF(U21&lt;=0,0,ABS(PMT(Inputs!$C$11,Inputs!$C$13,B21,0)))</f>
        <v/>
      </c>
      <c r="W24" s="10">
        <f>IF(V21&lt;=0,0,ABS(PMT(Inputs!$C$11,Inputs!$C$13,B21,0)))</f>
        <v/>
      </c>
      <c r="X24" s="10">
        <f>IF(W21&lt;=0,0,ABS(PMT(Inputs!$C$11,Inputs!$C$13,B21,0)))</f>
        <v/>
      </c>
      <c r="Y24" s="10">
        <f>IF(X21&lt;=0,0,ABS(PMT(Inputs!$C$11,Inputs!$C$13,B21,0)))</f>
        <v/>
      </c>
      <c r="Z24" s="10">
        <f>IF(Y21&lt;=0,0,ABS(PMT(Inputs!$C$11,Inputs!$C$13,B21,0)))</f>
        <v/>
      </c>
      <c r="AA24" s="10">
        <f>IF(Z21&lt;=0,0,ABS(PMT(Inputs!$C$11,Inputs!$C$13,B21,0)))</f>
        <v/>
      </c>
      <c r="AB24" s="10">
        <f>SUM(C24:AA24)</f>
        <v/>
      </c>
      <c r="AC24" s="10">
        <f>NPV(Inputs!$C$12,C24:AA24)</f>
        <v/>
      </c>
    </row>
    <row r="26">
      <c r="A26" s="4" t="inlineStr">
        <is>
          <t>Elec. Bill — No System ($)</t>
        </is>
      </c>
      <c r="B26" s="10" t="n">
        <v>0</v>
      </c>
      <c r="C26" s="15">
        <f>Inputs!C28</f>
        <v/>
      </c>
      <c r="D26" s="10">
        <f>C26*(1+Inputs!$C$14)</f>
        <v/>
      </c>
      <c r="E26" s="10">
        <f>D26*(1+Inputs!$C$14)</f>
        <v/>
      </c>
      <c r="F26" s="10">
        <f>E26*(1+Inputs!$C$14)</f>
        <v/>
      </c>
      <c r="G26" s="10">
        <f>F26*(1+Inputs!$C$14)</f>
        <v/>
      </c>
      <c r="H26" s="10">
        <f>G26*(1+Inputs!$C$14)</f>
        <v/>
      </c>
      <c r="I26" s="10">
        <f>H26*(1+Inputs!$C$14)</f>
        <v/>
      </c>
      <c r="J26" s="10">
        <f>I26*(1+Inputs!$C$14)</f>
        <v/>
      </c>
      <c r="K26" s="10">
        <f>J26*(1+Inputs!$C$14)</f>
        <v/>
      </c>
      <c r="L26" s="10">
        <f>K26*(1+Inputs!$C$14)</f>
        <v/>
      </c>
      <c r="M26" s="10">
        <f>L26*(1+Inputs!$C$14)</f>
        <v/>
      </c>
      <c r="N26" s="10">
        <f>M26*(1+Inputs!$C$14)</f>
        <v/>
      </c>
      <c r="O26" s="10">
        <f>N26*(1+Inputs!$C$14)</f>
        <v/>
      </c>
      <c r="P26" s="10">
        <f>O26*(1+Inputs!$C$14)</f>
        <v/>
      </c>
      <c r="Q26" s="10">
        <f>P26*(1+Inputs!$C$14)</f>
        <v/>
      </c>
      <c r="R26" s="10">
        <f>Q26*(1+Inputs!$C$14)</f>
        <v/>
      </c>
      <c r="S26" s="10">
        <f>R26*(1+Inputs!$C$14)</f>
        <v/>
      </c>
      <c r="T26" s="10">
        <f>S26*(1+Inputs!$C$14)</f>
        <v/>
      </c>
      <c r="U26" s="10">
        <f>T26*(1+Inputs!$C$14)</f>
        <v/>
      </c>
      <c r="V26" s="10">
        <f>U26*(1+Inputs!$C$14)</f>
        <v/>
      </c>
      <c r="W26" s="10">
        <f>V26*(1+Inputs!$C$14)</f>
        <v/>
      </c>
      <c r="X26" s="10">
        <f>W26*(1+Inputs!$C$14)</f>
        <v/>
      </c>
      <c r="Y26" s="10">
        <f>X26*(1+Inputs!$C$14)</f>
        <v/>
      </c>
      <c r="Z26" s="10">
        <f>Y26*(1+Inputs!$C$14)</f>
        <v/>
      </c>
      <c r="AA26" s="10">
        <f>Z26*(1+Inputs!$C$14)</f>
        <v/>
      </c>
    </row>
    <row r="27">
      <c r="A27" s="4" t="inlineStr">
        <is>
          <t>Elec. Bill — With System ($)</t>
        </is>
      </c>
      <c r="B27" s="10" t="n">
        <v>0</v>
      </c>
      <c r="C27" s="15">
        <f>Inputs!D28</f>
        <v/>
      </c>
      <c r="D27" s="10">
        <f>C27*(1+Inputs!$C$14)</f>
        <v/>
      </c>
      <c r="E27" s="10">
        <f>D27*(1+Inputs!$C$14)</f>
        <v/>
      </c>
      <c r="F27" s="10">
        <f>E27*(1+Inputs!$C$14)</f>
        <v/>
      </c>
      <c r="G27" s="10">
        <f>F27*(1+Inputs!$C$14)</f>
        <v/>
      </c>
      <c r="H27" s="10">
        <f>G27*(1+Inputs!$C$14)</f>
        <v/>
      </c>
      <c r="I27" s="10">
        <f>H27*(1+Inputs!$C$14)</f>
        <v/>
      </c>
      <c r="J27" s="10">
        <f>I27*(1+Inputs!$C$14)</f>
        <v/>
      </c>
      <c r="K27" s="10">
        <f>J27*(1+Inputs!$C$14)</f>
        <v/>
      </c>
      <c r="L27" s="10">
        <f>K27*(1+Inputs!$C$14)</f>
        <v/>
      </c>
      <c r="M27" s="10">
        <f>L27*(1+Inputs!$C$14)</f>
        <v/>
      </c>
      <c r="N27" s="10">
        <f>M27*(1+Inputs!$C$14)</f>
        <v/>
      </c>
      <c r="O27" s="10">
        <f>N27*(1+Inputs!$C$14)</f>
        <v/>
      </c>
      <c r="P27" s="10">
        <f>O27*(1+Inputs!$C$14)</f>
        <v/>
      </c>
      <c r="Q27" s="10">
        <f>P27*(1+Inputs!$C$14)</f>
        <v/>
      </c>
      <c r="R27" s="10">
        <f>Q27*(1+Inputs!$C$14)</f>
        <v/>
      </c>
      <c r="S27" s="10">
        <f>R27*(1+Inputs!$C$14)</f>
        <v/>
      </c>
      <c r="T27" s="10">
        <f>S27*(1+Inputs!$C$14)</f>
        <v/>
      </c>
      <c r="U27" s="10">
        <f>T27*(1+Inputs!$C$14)</f>
        <v/>
      </c>
      <c r="V27" s="10">
        <f>U27*(1+Inputs!$C$14)</f>
        <v/>
      </c>
      <c r="W27" s="10">
        <f>V27*(1+Inputs!$C$14)</f>
        <v/>
      </c>
      <c r="X27" s="10">
        <f>W27*(1+Inputs!$C$14)</f>
        <v/>
      </c>
      <c r="Y27" s="10">
        <f>X27*(1+Inputs!$C$14)</f>
        <v/>
      </c>
      <c r="Z27" s="10">
        <f>Y27*(1+Inputs!$C$14)</f>
        <v/>
      </c>
      <c r="AA27" s="10">
        <f>Z27*(1+Inputs!$C$14)</f>
        <v/>
      </c>
    </row>
    <row r="28">
      <c r="A28" s="4" t="inlineStr">
        <is>
          <t>Bill Savings ($)</t>
        </is>
      </c>
      <c r="B28" s="10" t="n">
        <v>0</v>
      </c>
      <c r="C28" s="10">
        <f>C26-C27</f>
        <v/>
      </c>
      <c r="D28" s="10">
        <f>D26-D27</f>
        <v/>
      </c>
      <c r="E28" s="10">
        <f>E26-E27</f>
        <v/>
      </c>
      <c r="F28" s="10">
        <f>F26-F27</f>
        <v/>
      </c>
      <c r="G28" s="10">
        <f>G26-G27</f>
        <v/>
      </c>
      <c r="H28" s="10">
        <f>H26-H27</f>
        <v/>
      </c>
      <c r="I28" s="10">
        <f>I26-I27</f>
        <v/>
      </c>
      <c r="J28" s="10">
        <f>J26-J27</f>
        <v/>
      </c>
      <c r="K28" s="10">
        <f>K26-K27</f>
        <v/>
      </c>
      <c r="L28" s="10">
        <f>L26-L27</f>
        <v/>
      </c>
      <c r="M28" s="10">
        <f>M26-M27</f>
        <v/>
      </c>
      <c r="N28" s="10">
        <f>N26-N27</f>
        <v/>
      </c>
      <c r="O28" s="10">
        <f>O26-O27</f>
        <v/>
      </c>
      <c r="P28" s="10">
        <f>P26-P27</f>
        <v/>
      </c>
      <c r="Q28" s="10">
        <f>Q26-Q27</f>
        <v/>
      </c>
      <c r="R28" s="10">
        <f>R26-R27</f>
        <v/>
      </c>
      <c r="S28" s="10">
        <f>S26-S27</f>
        <v/>
      </c>
      <c r="T28" s="10">
        <f>T26-T27</f>
        <v/>
      </c>
      <c r="U28" s="10">
        <f>U26-U27</f>
        <v/>
      </c>
      <c r="V28" s="10">
        <f>V26-V27</f>
        <v/>
      </c>
      <c r="W28" s="10">
        <f>W26-W27</f>
        <v/>
      </c>
      <c r="X28" s="10">
        <f>X26-X27</f>
        <v/>
      </c>
      <c r="Y28" s="10">
        <f>Y26-Y27</f>
        <v/>
      </c>
      <c r="Z28" s="10">
        <f>Z26-Z27</f>
        <v/>
      </c>
      <c r="AA28" s="10">
        <f>AA26-AA27</f>
        <v/>
      </c>
      <c r="AB28" s="10">
        <f>SUM(C28:AA28)</f>
        <v/>
      </c>
      <c r="AC28" s="10">
        <f>NPV(Inputs!$C$12,C28:AA28)</f>
        <v/>
      </c>
    </row>
    <row r="29">
      <c r="A29" s="4" t="inlineStr">
        <is>
          <t>Incentive Savings — Annual ($)</t>
        </is>
      </c>
      <c r="B29" s="10" t="n">
        <v>0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10">
        <f>SUM(C29:AA29)</f>
        <v/>
      </c>
      <c r="AC29" s="10">
        <f>NPV(Inputs!$C$12,C29:AA29)</f>
        <v/>
      </c>
    </row>
    <row r="30">
      <c r="A30" s="16" t="inlineStr">
        <is>
          <t>Total Savings ($)</t>
        </is>
      </c>
      <c r="B30" s="10">
        <f>B28+B29</f>
        <v/>
      </c>
      <c r="C30" s="10">
        <f>C28+C29</f>
        <v/>
      </c>
      <c r="D30" s="10">
        <f>D28+D29</f>
        <v/>
      </c>
      <c r="E30" s="10">
        <f>E28+E29</f>
        <v/>
      </c>
      <c r="F30" s="10">
        <f>F28+F29</f>
        <v/>
      </c>
      <c r="G30" s="10">
        <f>G28+G29</f>
        <v/>
      </c>
      <c r="H30" s="10">
        <f>H28+H29</f>
        <v/>
      </c>
      <c r="I30" s="10">
        <f>I28+I29</f>
        <v/>
      </c>
      <c r="J30" s="10">
        <f>J28+J29</f>
        <v/>
      </c>
      <c r="K30" s="10">
        <f>K28+K29</f>
        <v/>
      </c>
      <c r="L30" s="10">
        <f>L28+L29</f>
        <v/>
      </c>
      <c r="M30" s="10">
        <f>M28+M29</f>
        <v/>
      </c>
      <c r="N30" s="10">
        <f>N28+N29</f>
        <v/>
      </c>
      <c r="O30" s="10">
        <f>O28+O29</f>
        <v/>
      </c>
      <c r="P30" s="10">
        <f>P28+P29</f>
        <v/>
      </c>
      <c r="Q30" s="10">
        <f>Q28+Q29</f>
        <v/>
      </c>
      <c r="R30" s="10">
        <f>R28+R29</f>
        <v/>
      </c>
      <c r="S30" s="10">
        <f>S28+S29</f>
        <v/>
      </c>
      <c r="T30" s="10">
        <f>T28+T29</f>
        <v/>
      </c>
      <c r="U30" s="10">
        <f>U28+U29</f>
        <v/>
      </c>
      <c r="V30" s="10">
        <f>V28+V29</f>
        <v/>
      </c>
      <c r="W30" s="10">
        <f>W28+W29</f>
        <v/>
      </c>
      <c r="X30" s="10">
        <f>X28+X29</f>
        <v/>
      </c>
      <c r="Y30" s="10">
        <f>Y28+Y29</f>
        <v/>
      </c>
      <c r="Z30" s="10">
        <f>Z28+Z29</f>
        <v/>
      </c>
      <c r="AA30" s="10">
        <f>AA28+AA29</f>
        <v/>
      </c>
      <c r="AB30" s="10">
        <f>SUM(C30:AA30)</f>
        <v/>
      </c>
      <c r="AC30" s="10">
        <f>NPV(Inputs!$C$12,C30:AA30)</f>
        <v/>
      </c>
    </row>
    <row r="31">
      <c r="A31" s="17" t="inlineStr">
        <is>
          <t>Net Savings ($)</t>
        </is>
      </c>
      <c r="B31" s="18">
        <f>B30-B24</f>
        <v/>
      </c>
      <c r="C31" s="18">
        <f>C30-C24</f>
        <v/>
      </c>
      <c r="D31" s="18">
        <f>D30-D24</f>
        <v/>
      </c>
      <c r="E31" s="18">
        <f>E30-E24</f>
        <v/>
      </c>
      <c r="F31" s="18">
        <f>F30-F24</f>
        <v/>
      </c>
      <c r="G31" s="18">
        <f>G30-G24</f>
        <v/>
      </c>
      <c r="H31" s="18">
        <f>H30-H24</f>
        <v/>
      </c>
      <c r="I31" s="18">
        <f>I30-I24</f>
        <v/>
      </c>
      <c r="J31" s="18">
        <f>J30-J24</f>
        <v/>
      </c>
      <c r="K31" s="18">
        <f>K30-K24</f>
        <v/>
      </c>
      <c r="L31" s="18">
        <f>L30-L24</f>
        <v/>
      </c>
      <c r="M31" s="18">
        <f>M30-M24</f>
        <v/>
      </c>
      <c r="N31" s="18">
        <f>N30-N24</f>
        <v/>
      </c>
      <c r="O31" s="18">
        <f>O30-O24</f>
        <v/>
      </c>
      <c r="P31" s="18">
        <f>P30-P24</f>
        <v/>
      </c>
      <c r="Q31" s="18">
        <f>Q30-Q24</f>
        <v/>
      </c>
      <c r="R31" s="18">
        <f>R30-R24</f>
        <v/>
      </c>
      <c r="S31" s="18">
        <f>S30-S24</f>
        <v/>
      </c>
      <c r="T31" s="18">
        <f>T30-T24</f>
        <v/>
      </c>
      <c r="U31" s="18">
        <f>U30-U24</f>
        <v/>
      </c>
      <c r="V31" s="18">
        <f>V30-V24</f>
        <v/>
      </c>
      <c r="W31" s="18">
        <f>W30-W24</f>
        <v/>
      </c>
      <c r="X31" s="18">
        <f>X30-X24</f>
        <v/>
      </c>
      <c r="Y31" s="18">
        <f>Y30-Y24</f>
        <v/>
      </c>
      <c r="Z31" s="18">
        <f>Z30-Z24</f>
        <v/>
      </c>
      <c r="AA31" s="18">
        <f>AA30-AA24</f>
        <v/>
      </c>
      <c r="AB31" s="18">
        <f>SUM(C31:AA31)</f>
        <v/>
      </c>
      <c r="AC31" s="18">
        <f>NPV(Inputs!$C$12,C31:AA31)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F14"/>
  <sheetViews>
    <sheetView zoomScale="213" workbookViewId="0">
      <selection activeCell="D18" sqref="D18"/>
    </sheetView>
  </sheetViews>
  <sheetFormatPr baseColWidth="10" defaultColWidth="8.83203125" defaultRowHeight="15"/>
  <cols>
    <col width="14" customWidth="1" min="1" max="1"/>
    <col width="32" customWidth="1" min="2" max="2"/>
    <col width="14" customWidth="1" min="3" max="3"/>
    <col width="15" customWidth="1" min="4" max="4"/>
    <col width="16" customWidth="1" min="5" max="5"/>
    <col width="18" customWidth="1" min="6" max="6"/>
  </cols>
  <sheetData>
    <row r="1" ht="18" customHeight="1">
      <c r="A1" s="1" t="inlineStr">
        <is>
          <t>NC Solar Financing — Summary Dashboard</t>
        </is>
      </c>
    </row>
    <row r="2">
      <c r="A2" s="2" t="inlineStr">
        <is>
          <t>All values linked to cash flow sheets (green = cross-sheet formula)</t>
        </is>
      </c>
    </row>
    <row r="4">
      <c r="A4" s="13" t="inlineStr">
        <is>
          <t>System</t>
        </is>
      </c>
      <c r="B4" s="13" t="inlineStr">
        <is>
          <t>Scenario</t>
        </is>
      </c>
      <c r="C4" s="13" t="inlineStr">
        <is>
          <t>Rate</t>
        </is>
      </c>
      <c r="D4" s="13" t="inlineStr">
        <is>
          <t>System Cost ($)</t>
        </is>
      </c>
      <c r="E4" s="13" t="inlineStr">
        <is>
          <t>25yr NPV ($)</t>
        </is>
      </c>
      <c r="F4" s="13" t="inlineStr">
        <is>
          <t>Y1 Net Monthly ($)</t>
        </is>
      </c>
    </row>
    <row r="5">
      <c r="A5" s="4" t="inlineStr">
        <is>
          <t>PV+Storage</t>
        </is>
      </c>
      <c r="B5" s="4" t="inlineStr">
        <is>
          <t>FedITC + State</t>
        </is>
      </c>
      <c r="C5" s="4" t="inlineStr">
        <is>
          <t>RSC</t>
        </is>
      </c>
      <c r="D5" s="15">
        <f>Inputs!C5</f>
        <v/>
      </c>
      <c r="E5" s="15">
        <f>'PV+Storage RSC'!AC16</f>
        <v/>
      </c>
      <c r="F5" s="15">
        <f>'PV+Storage RSC'!C16/12</f>
        <v/>
      </c>
    </row>
    <row r="6">
      <c r="A6" s="4" t="inlineStr">
        <is>
          <t>PV+Storage</t>
        </is>
      </c>
      <c r="B6" s="4" t="inlineStr">
        <is>
          <t>State Only</t>
        </is>
      </c>
      <c r="C6" s="4" t="inlineStr">
        <is>
          <t>RSC</t>
        </is>
      </c>
      <c r="D6" s="15">
        <f>Inputs!C5</f>
        <v/>
      </c>
      <c r="E6" s="15">
        <f>'PV+Storage RSC'!AC31</f>
        <v/>
      </c>
      <c r="F6" s="15">
        <f>'PV+Storage RSC'!C31/12</f>
        <v/>
      </c>
    </row>
    <row r="7">
      <c r="A7" s="4" t="inlineStr">
        <is>
          <t>PV+Storage</t>
        </is>
      </c>
      <c r="B7" s="4" t="inlineStr">
        <is>
          <t>No Incentives</t>
        </is>
      </c>
      <c r="C7" s="4" t="inlineStr">
        <is>
          <t>RSC</t>
        </is>
      </c>
      <c r="D7" s="15">
        <f>Inputs!C5</f>
        <v/>
      </c>
      <c r="E7" s="15">
        <f>'PV+Storage RSC'!AC46</f>
        <v/>
      </c>
      <c r="F7" s="15">
        <f>'PV+Storage RSC'!C46/12</f>
        <v/>
      </c>
    </row>
    <row r="8">
      <c r="A8" s="4" t="inlineStr">
        <is>
          <t>PV+Storage</t>
        </is>
      </c>
      <c r="B8" s="4" t="inlineStr">
        <is>
          <t>FedITC + State</t>
        </is>
      </c>
      <c r="C8" s="4" t="inlineStr">
        <is>
          <t>Bridge</t>
        </is>
      </c>
      <c r="D8" s="15">
        <f>Inputs!C5</f>
        <v/>
      </c>
      <c r="E8" s="15">
        <f>'PV+Storage Bridge'!AC16</f>
        <v/>
      </c>
      <c r="F8" s="15">
        <f>'PV+Storage Bridge'!C16/12</f>
        <v/>
      </c>
    </row>
    <row r="9">
      <c r="A9" s="4" t="inlineStr">
        <is>
          <t>PV+Storage</t>
        </is>
      </c>
      <c r="B9" s="4" t="inlineStr">
        <is>
          <t>State Only</t>
        </is>
      </c>
      <c r="C9" s="4" t="inlineStr">
        <is>
          <t>Bridge</t>
        </is>
      </c>
      <c r="D9" s="15">
        <f>Inputs!C5</f>
        <v/>
      </c>
      <c r="E9" s="15">
        <f>'PV+Storage Bridge'!AC31</f>
        <v/>
      </c>
      <c r="F9" s="15">
        <f>'PV+Storage Bridge'!C31/12</f>
        <v/>
      </c>
    </row>
    <row r="10">
      <c r="A10" s="4" t="inlineStr">
        <is>
          <t>PV+Storage</t>
        </is>
      </c>
      <c r="B10" s="4" t="inlineStr">
        <is>
          <t>No Incentives</t>
        </is>
      </c>
      <c r="C10" s="4" t="inlineStr">
        <is>
          <t>Bridge</t>
        </is>
      </c>
      <c r="D10" s="15">
        <f>Inputs!C5</f>
        <v/>
      </c>
      <c r="E10" s="15">
        <f>'PV+Storage Bridge'!AC46</f>
        <v/>
      </c>
      <c r="F10" s="15">
        <f>'PV+Storage Bridge'!C46/12</f>
        <v/>
      </c>
    </row>
    <row r="11">
      <c r="A11" s="4" t="inlineStr">
        <is>
          <t>Solar Only</t>
        </is>
      </c>
      <c r="B11" s="4" t="inlineStr">
        <is>
          <t>With FedITC</t>
        </is>
      </c>
      <c r="C11" s="4" t="inlineStr">
        <is>
          <t>RSC</t>
        </is>
      </c>
      <c r="D11" s="15">
        <f>Inputs!C6</f>
        <v/>
      </c>
      <c r="E11" s="15">
        <f>'Solar Only RSC'!AC16</f>
        <v/>
      </c>
      <c r="F11" s="15">
        <f>'Solar Only RSC'!C16/12</f>
        <v/>
      </c>
    </row>
    <row r="12">
      <c r="A12" s="4" t="inlineStr">
        <is>
          <t>Solar Only</t>
        </is>
      </c>
      <c r="B12" s="4" t="inlineStr">
        <is>
          <t>No Incentives</t>
        </is>
      </c>
      <c r="C12" s="4" t="inlineStr">
        <is>
          <t>RSC</t>
        </is>
      </c>
      <c r="D12" s="15">
        <f>Inputs!C6</f>
        <v/>
      </c>
      <c r="E12" s="15">
        <f>'Solar Only RSC'!AC31</f>
        <v/>
      </c>
      <c r="F12" s="15">
        <f>'Solar Only RSC'!C31/12</f>
        <v/>
      </c>
    </row>
    <row r="13">
      <c r="A13" s="4" t="inlineStr">
        <is>
          <t>Solar Only</t>
        </is>
      </c>
      <c r="B13" s="4" t="inlineStr">
        <is>
          <t>With FedITC</t>
        </is>
      </c>
      <c r="C13" s="4" t="inlineStr">
        <is>
          <t>Bridge</t>
        </is>
      </c>
      <c r="D13" s="15">
        <f>Inputs!C6</f>
        <v/>
      </c>
      <c r="E13" s="15">
        <f>'Solar Only Bridge'!AC16</f>
        <v/>
      </c>
      <c r="F13" s="15">
        <f>'Solar Only Bridge'!C16/12</f>
        <v/>
      </c>
    </row>
    <row r="14">
      <c r="A14" s="4" t="inlineStr">
        <is>
          <t>Solar Only</t>
        </is>
      </c>
      <c r="B14" s="4" t="inlineStr">
        <is>
          <t>No Incentives</t>
        </is>
      </c>
      <c r="C14" s="4" t="inlineStr">
        <is>
          <t>Bridge</t>
        </is>
      </c>
      <c r="D14" s="15">
        <f>Inputs!C6</f>
        <v/>
      </c>
      <c r="E14" s="15">
        <f>'Solar Only Bridge'!AC31</f>
        <v/>
      </c>
      <c r="F14" s="15">
        <f>'Solar Only Bridge'!C31/12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A1:F25"/>
  <sheetViews>
    <sheetView tabSelected="1" zoomScale="164" workbookViewId="0">
      <selection activeCell="A1" sqref="A1"/>
    </sheetView>
  </sheetViews>
  <sheetFormatPr baseColWidth="10" defaultColWidth="8.83203125" defaultRowHeight="15"/>
  <cols>
    <col width="36" customWidth="1" min="1" max="1"/>
    <col width="16" customWidth="1" min="2" max="4"/>
    <col width="18" customWidth="1" min="5" max="6"/>
  </cols>
  <sheetData>
    <row r="1" ht="18" customHeight="1">
      <c r="A1" s="1" t="inlineStr">
        <is>
          <t>Monthly Cash Flow Analysis — Year 1 Average</t>
        </is>
      </c>
    </row>
    <row r="2">
      <c r="A2" s="2" t="inlineStr">
        <is>
          <t>Shows whether monthly loan payment is covered by monthly bill savings from Day 1</t>
        </is>
      </c>
    </row>
    <row r="4">
      <c r="A4" s="13" t="inlineStr">
        <is>
          <t>Scenario</t>
        </is>
      </c>
      <c r="B4" s="13" t="inlineStr">
        <is>
          <t>Monthly PMT ($)</t>
        </is>
      </c>
      <c r="C4" s="13" t="inlineStr">
        <is>
          <t>Monthly Savings ($)</t>
        </is>
      </c>
      <c r="D4" s="13" t="inlineStr">
        <is>
          <t>Monthly Net ($)</t>
        </is>
      </c>
      <c r="E4" s="13" t="inlineStr">
        <is>
          <t>Cash Flow Positive?</t>
        </is>
      </c>
      <c r="F4" s="13" t="inlineStr">
        <is>
          <t>Breakeven Year*</t>
        </is>
      </c>
    </row>
    <row r="5">
      <c r="A5" s="4" t="inlineStr">
        <is>
          <t>PV+Storage RSC — FedITC + State</t>
        </is>
      </c>
      <c r="B5" s="15">
        <f>'PV+Storage RSC'!C9/12</f>
        <v/>
      </c>
      <c r="C5" s="15">
        <f>'PV+Storage RSC'!C15/12</f>
        <v/>
      </c>
      <c r="D5" s="10">
        <f>C5-B5</f>
        <v/>
      </c>
      <c r="E5" s="4">
        <f>IF(D5&gt;0,"YES","NO")</f>
        <v/>
      </c>
      <c r="F5" s="4">
        <f>IF(C5&lt;=0,"Never",IF(C5&gt;=B5,"Year 1",IF(B5/C5&gt;=(1+Inputs!$C$14)^Inputs!$C$13,"Never","Year "&amp;CEILING(LN(B5/C5)/LN(1+Inputs!$C$14)+1,1))))</f>
        <v/>
      </c>
    </row>
    <row r="6">
      <c r="A6" s="4" t="inlineStr">
        <is>
          <t>PV+Storage RSC — State Only</t>
        </is>
      </c>
      <c r="B6" s="15">
        <f>'PV+Storage RSC'!C24/12</f>
        <v/>
      </c>
      <c r="C6" s="15">
        <f>'PV+Storage RSC'!C30/12</f>
        <v/>
      </c>
      <c r="D6" s="10">
        <f>C6-B6</f>
        <v/>
      </c>
      <c r="E6" s="4">
        <f>IF(D6&gt;0,"YES","NO")</f>
        <v/>
      </c>
      <c r="F6" s="4">
        <f>IF(C6&lt;=0,"Never",IF(C6&gt;=B6,"Year 1",IF(B6/C6&gt;=(1+Inputs!$C$14)^Inputs!$C$13,"Never","Year "&amp;CEILING(LN(B6/C6)/LN(1+Inputs!$C$14)+1,1))))</f>
        <v/>
      </c>
    </row>
    <row r="7">
      <c r="A7" s="4" t="inlineStr">
        <is>
          <t>PV+Storage RSC — No Incentives</t>
        </is>
      </c>
      <c r="B7" s="15">
        <f>'PV+Storage RSC'!C39/12</f>
        <v/>
      </c>
      <c r="C7" s="15">
        <f>'PV+Storage RSC'!C45/12</f>
        <v/>
      </c>
      <c r="D7" s="10">
        <f>C7-B7</f>
        <v/>
      </c>
      <c r="E7" s="4">
        <f>IF(D7&gt;0,"YES","NO")</f>
        <v/>
      </c>
      <c r="F7" s="4">
        <f>IF(C7&lt;=0,"Never",IF(C7&gt;=B7,"Year 1",IF(B7/C7&gt;=(1+Inputs!$C$14)^Inputs!$C$13,"Never","Year "&amp;CEILING(LN(B7/C7)/LN(1+Inputs!$C$14)+1,1))))</f>
        <v/>
      </c>
    </row>
    <row r="8">
      <c r="A8" s="4" t="inlineStr">
        <is>
          <t>PV+Storage Bridge — FedITC + State</t>
        </is>
      </c>
      <c r="B8" s="15">
        <f>'PV+Storage Bridge'!C9/12</f>
        <v/>
      </c>
      <c r="C8" s="15">
        <f>'PV+Storage Bridge'!C15/12</f>
        <v/>
      </c>
      <c r="D8" s="10">
        <f>C8-B8</f>
        <v/>
      </c>
      <c r="E8" s="4">
        <f>IF(D8&gt;0,"YES","NO")</f>
        <v/>
      </c>
      <c r="F8" s="4">
        <f>IF(C8&lt;=0,"Never",IF(C8&gt;=B8,"Year 1",IF(B8/C8&gt;=(1+Inputs!$C$14)^Inputs!$C$13,"Never","Year "&amp;CEILING(LN(B8/C8)/LN(1+Inputs!$C$14)+1,1))))</f>
        <v/>
      </c>
    </row>
    <row r="9">
      <c r="A9" s="4" t="inlineStr">
        <is>
          <t>PV+Storage Bridge — State Only</t>
        </is>
      </c>
      <c r="B9" s="15">
        <f>'PV+Storage Bridge'!C24/12</f>
        <v/>
      </c>
      <c r="C9" s="15">
        <f>'PV+Storage Bridge'!C30/12</f>
        <v/>
      </c>
      <c r="D9" s="10">
        <f>C9-B9</f>
        <v/>
      </c>
      <c r="E9" s="4">
        <f>IF(D9&gt;0,"YES","NO")</f>
        <v/>
      </c>
      <c r="F9" s="4">
        <f>IF(C9&lt;=0,"Never",IF(C9&gt;=B9,"Year 1",IF(B9/C9&gt;=(1+Inputs!$C$14)^Inputs!$C$13,"Never","Year "&amp;CEILING(LN(B9/C9)/LN(1+Inputs!$C$14)+1,1))))</f>
        <v/>
      </c>
    </row>
    <row r="10">
      <c r="A10" s="4" t="inlineStr">
        <is>
          <t>PV+Storage Bridge — No Incentives</t>
        </is>
      </c>
      <c r="B10" s="15">
        <f>'PV+Storage Bridge'!C39/12</f>
        <v/>
      </c>
      <c r="C10" s="15">
        <f>'PV+Storage Bridge'!C45/12</f>
        <v/>
      </c>
      <c r="D10" s="10">
        <f>C10-B10</f>
        <v/>
      </c>
      <c r="E10" s="4">
        <f>IF(D10&gt;0,"YES","NO")</f>
        <v/>
      </c>
      <c r="F10" s="4">
        <f>IF(C10&lt;=0,"Never",IF(C10&gt;=B10,"Year 1",IF(B10/C10&gt;=(1+Inputs!$C$14)^Inputs!$C$13,"Never","Year "&amp;CEILING(LN(B10/C10)/LN(1+Inputs!$C$14)+1,1))))</f>
        <v/>
      </c>
    </row>
    <row r="11">
      <c r="A11" s="4" t="inlineStr">
        <is>
          <t>Solar Only RSC — FedITC</t>
        </is>
      </c>
      <c r="B11" s="15">
        <f>'Solar Only RSC'!C9/12</f>
        <v/>
      </c>
      <c r="C11" s="15">
        <f>'Solar Only RSC'!C15/12</f>
        <v/>
      </c>
      <c r="D11" s="10">
        <f>C11-B11</f>
        <v/>
      </c>
      <c r="E11" s="4">
        <f>IF(D11&gt;0,"YES","NO")</f>
        <v/>
      </c>
      <c r="F11" s="4">
        <f>IF(C11&lt;=0,"Never",IF(C11&gt;=B11,"Year 1",IF(B11/C11&gt;=(1+Inputs!$C$14)^Inputs!$C$13,"Never","Year "&amp;CEILING(LN(B11/C11)/LN(1+Inputs!$C$14)+1,1))))</f>
        <v/>
      </c>
    </row>
    <row r="12">
      <c r="A12" s="4" t="inlineStr">
        <is>
          <t>Solar Only RSC — No Incentives</t>
        </is>
      </c>
      <c r="B12" s="15">
        <f>'Solar Only RSC'!C24/12</f>
        <v/>
      </c>
      <c r="C12" s="15">
        <f>'Solar Only RSC'!C30/12</f>
        <v/>
      </c>
      <c r="D12" s="10">
        <f>C12-B12</f>
        <v/>
      </c>
      <c r="E12" s="4">
        <f>IF(D12&gt;0,"YES","NO")</f>
        <v/>
      </c>
      <c r="F12" s="4">
        <f>IF(C12&lt;=0,"Never",IF(C12&gt;=B12,"Year 1",IF(B12/C12&gt;=(1+Inputs!$C$14)^Inputs!$C$13,"Never","Year "&amp;CEILING(LN(B12/C12)/LN(1+Inputs!$C$14)+1,1))))</f>
        <v/>
      </c>
    </row>
    <row r="13">
      <c r="A13" s="4" t="inlineStr">
        <is>
          <t>Solar Only Bridge — FedITC</t>
        </is>
      </c>
      <c r="B13" s="15">
        <f>'Solar Only Bridge'!C9/12</f>
        <v/>
      </c>
      <c r="C13" s="15">
        <f>'Solar Only Bridge'!C15/12</f>
        <v/>
      </c>
      <c r="D13" s="10">
        <f>C13-B13</f>
        <v/>
      </c>
      <c r="E13" s="4">
        <f>IF(D13&gt;0,"YES","NO")</f>
        <v/>
      </c>
      <c r="F13" s="4">
        <f>IF(C13&lt;=0,"Never",IF(C13&gt;=B13,"Year 1",IF(B13/C13&gt;=(1+Inputs!$C$14)^Inputs!$C$13,"Never","Year "&amp;CEILING(LN(B13/C13)/LN(1+Inputs!$C$14)+1,1))))</f>
        <v/>
      </c>
    </row>
    <row r="14">
      <c r="A14" s="19" t="inlineStr">
        <is>
          <t>Solar Only Bridge — No Incentives</t>
        </is>
      </c>
      <c r="B14" s="20">
        <f>'Solar Only Bridge'!C24/12</f>
        <v/>
      </c>
      <c r="C14" s="20">
        <f>'Solar Only Bridge'!C30/12</f>
        <v/>
      </c>
      <c r="D14" s="18">
        <f>C14-B14</f>
        <v/>
      </c>
      <c r="E14" s="19">
        <f>IF(D14&gt;0,"YES","NO")</f>
        <v/>
      </c>
      <c r="F14" s="19">
        <f>IF(C14&lt;=0,"Never",IF(C14&gt;=B14,"Year 1",IF(B14/C14&gt;=(1+Inputs!$C$14)^Inputs!$C$13,"Never","Year "&amp;CEILING(LN(B14/C14)/LN(1+Inputs!$C$14)+1,1))))</f>
        <v/>
      </c>
    </row>
    <row r="16">
      <c r="A16" s="2" t="inlineStr">
        <is>
          <t>* Breakeven Year = first year where annual savings (growing at escalation rate) exceed annual loan payment.</t>
        </is>
      </c>
    </row>
    <row r="17">
      <c r="A17" s="2" t="inlineStr">
        <is>
          <t xml:space="preserve">  Monthly savings are computed as annual averages (annual total / 12). Actual monthly savings vary by season</t>
        </is>
      </c>
    </row>
    <row r="18">
      <c r="A18" s="2" t="inlineStr">
        <is>
          <t xml:space="preserve">  due to solar generation patterns: summer months produce higher savings, winter months lower. A January start</t>
        </is>
      </c>
    </row>
    <row r="19">
      <c r="A19" s="2" t="inlineStr">
        <is>
          <t xml:space="preserve">  may show negative cash flow in Month 1 even if the annual average is positive.</t>
        </is>
      </c>
    </row>
    <row r="21">
      <c r="A21" s="21" t="inlineStr">
        <is>
          <t>Key assumptions:</t>
        </is>
      </c>
    </row>
    <row r="22">
      <c r="A22" s="2" t="inlineStr">
        <is>
          <t xml:space="preserve">  - Loan payment is fixed (level PMT) over 25 years at 7.24% interest rate</t>
        </is>
      </c>
    </row>
    <row r="23">
      <c r="A23" s="2" t="inlineStr">
        <is>
          <t xml:space="preserve">  - Bill savings grow annually at the electricity cost escalation rate (2.5%)</t>
        </is>
      </c>
    </row>
    <row r="24">
      <c r="A24" s="2" t="inlineStr">
        <is>
          <t xml:space="preserve">  - Incentives: FedITC reduces initial principal; EnergyWise is annual recurring credit</t>
        </is>
      </c>
    </row>
    <row r="25">
      <c r="A25" s="2" t="inlineStr">
        <is>
          <t xml:space="preserve">  - All bill data sourced from SAM simulation for Duke Energy NC residential customers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124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B1" s="34" t="inlineStr">
        <is>
          <t>Sensitivity Analysis — Loan Feasibility Without Federal ITC</t>
        </is>
      </c>
    </row>
    <row r="2">
      <c r="B2" s="26" t="inlineStr">
        <is>
          <t>All formulas reference Inputs sheet. Change assumptions there to update this analysis.</t>
        </is>
      </c>
    </row>
    <row r="4">
      <c r="B4" s="35" t="inlineStr">
        <is>
          <t>KEY ASSUMPTIONS (from Inputs sheet)</t>
        </is>
      </c>
    </row>
    <row r="5">
      <c r="B5" s="36" t="inlineStr">
        <is>
          <t>PV + Storage System Cost</t>
        </is>
      </c>
      <c r="C5" s="37">
        <f>Inputs!C5</f>
        <v/>
      </c>
    </row>
    <row r="6">
      <c r="B6" s="36" t="inlineStr">
        <is>
          <t>Solar Only System Cost</t>
        </is>
      </c>
      <c r="C6" s="37">
        <f>Inputs!C6</f>
        <v/>
      </c>
    </row>
    <row r="7">
      <c r="B7" s="36" t="inlineStr">
        <is>
          <t>PowerPair Rebate</t>
        </is>
      </c>
      <c r="C7" s="37">
        <f>Inputs!C20</f>
        <v/>
      </c>
    </row>
    <row r="8">
      <c r="B8" s="36" t="inlineStr">
        <is>
          <t>EnergyWise Annual Credit</t>
        </is>
      </c>
      <c r="C8" s="38">
        <f>Inputs!C21</f>
        <v/>
      </c>
    </row>
    <row r="9">
      <c r="B9" s="36" t="inlineStr">
        <is>
          <t>Loan Term</t>
        </is>
      </c>
      <c r="C9" s="39">
        <f>Inputs!C13</f>
        <v/>
      </c>
    </row>
    <row r="10">
      <c r="B10" s="36" t="inlineStr">
        <is>
          <t>Electricity Escalation Rate</t>
        </is>
      </c>
      <c r="C10" s="40">
        <f>Inputs!C14</f>
        <v/>
      </c>
    </row>
    <row r="11">
      <c r="B11" s="36" t="inlineStr">
        <is>
          <t>Current Debt Interest Rate</t>
        </is>
      </c>
      <c r="C11" s="41">
        <f>Inputs!C11</f>
        <v/>
      </c>
    </row>
    <row r="12">
      <c r="B12" s="36" t="inlineStr">
        <is>
          <t>Customer Discount Rate</t>
        </is>
      </c>
      <c r="C12" s="41">
        <f>Inputs!C12</f>
        <v/>
      </c>
    </row>
    <row r="14">
      <c r="B14" s="35" t="inlineStr">
        <is>
          <t>YEAR 1 ANNUAL BILL SAVINGS</t>
        </is>
      </c>
    </row>
    <row r="15">
      <c r="C15" s="42" t="inlineStr">
        <is>
          <t>RSC</t>
        </is>
      </c>
      <c r="D15" s="42" t="inlineStr">
        <is>
          <t>Bridge</t>
        </is>
      </c>
    </row>
    <row r="16">
      <c r="B16" s="36" t="inlineStr">
        <is>
          <t>PV+Storage Bill Savings</t>
        </is>
      </c>
      <c r="C16" s="43">
        <f>Inputs!E25</f>
        <v/>
      </c>
      <c r="D16" s="43">
        <f>Inputs!E26</f>
        <v/>
      </c>
    </row>
    <row r="17">
      <c r="B17" s="36" t="inlineStr">
        <is>
          <t>PV+Storage + EnergyWise</t>
        </is>
      </c>
      <c r="C17" s="43">
        <f>Inputs!E25+Inputs!C21</f>
        <v/>
      </c>
      <c r="D17" s="43">
        <f>Inputs!E26+Inputs!C21</f>
        <v/>
      </c>
    </row>
    <row r="18">
      <c r="B18" s="36" t="inlineStr">
        <is>
          <t>Solar Only Bill Savings</t>
        </is>
      </c>
      <c r="C18" s="43">
        <f>Inputs!E27</f>
        <v/>
      </c>
      <c r="D18" s="43">
        <f>Inputs!E28</f>
        <v/>
      </c>
    </row>
    <row r="20">
      <c r="B20" s="35" t="inlineStr">
        <is>
          <t>NET SYSTEM COST WITHOUT ITC</t>
        </is>
      </c>
    </row>
    <row r="21">
      <c r="B21" s="36" t="inlineStr">
        <is>
          <t>PV+S, No incentives</t>
        </is>
      </c>
      <c r="C21" s="43">
        <f>C5</f>
        <v/>
      </c>
    </row>
    <row r="22">
      <c r="B22" s="36" t="inlineStr">
        <is>
          <t>PV+S, PowerPair only</t>
        </is>
      </c>
      <c r="C22" s="43">
        <f>C5-C7</f>
        <v/>
      </c>
    </row>
    <row r="23">
      <c r="B23" s="36" t="inlineStr">
        <is>
          <t>PV+S, PowerPair + EnergyWise*</t>
        </is>
      </c>
      <c r="C23" s="43">
        <f>C5-C7</f>
        <v/>
      </c>
      <c r="D23" s="26" t="inlineStr">
        <is>
          <t>EnergyWise reduces annual cost, not upfront; same loan as row above</t>
        </is>
      </c>
    </row>
    <row r="24">
      <c r="B24" s="36" t="inlineStr">
        <is>
          <t>Solar Only, No incentives</t>
        </is>
      </c>
      <c r="C24" s="43">
        <f>C6</f>
        <v/>
      </c>
    </row>
    <row r="26">
      <c r="B26" s="44" t="inlineStr">
        <is>
          <t>SECTION 1: BREAKEVEN INTEREST RATE FOR YEAR 1 NET POSITIVE</t>
        </is>
      </c>
    </row>
    <row r="27">
      <c r="B27" s="26" t="inlineStr">
        <is>
          <t>Maximum interest rate at which Annual Loan Payment ≤ Annual Savings (Year 1)</t>
        </is>
      </c>
    </row>
    <row r="28">
      <c r="B28" s="42" t="inlineStr">
        <is>
          <t>Net Loan Amount</t>
        </is>
      </c>
      <c r="C28" s="42" t="inlineStr">
        <is>
          <t>Year 1 Savings</t>
        </is>
      </c>
      <c r="D28" s="42" t="inlineStr">
        <is>
          <t>Breakeven Rate</t>
        </is>
      </c>
      <c r="E28" s="42" t="inlineStr">
        <is>
          <t>Feasible at Market?</t>
        </is>
      </c>
    </row>
    <row r="29">
      <c r="B29" s="36" t="inlineStr">
        <is>
          <t>PV+S RSC, No incentives</t>
        </is>
      </c>
      <c r="C29" s="45">
        <f>C21</f>
        <v/>
      </c>
      <c r="D29" s="45">
        <f>C16</f>
        <v/>
      </c>
      <c r="E29" s="46">
        <f>IFERROR(RATE(C$9,-D29,C29),0)</f>
        <v/>
      </c>
      <c r="F29" s="47">
        <f>IF(E29&gt;=0.05,"Yes — feasible",IF(E29&gt;0,"No — requires subsidized rate","No — impossible even at 0%"))</f>
        <v/>
      </c>
    </row>
    <row r="30">
      <c r="B30" s="36" t="inlineStr">
        <is>
          <t>PV+S RSC, PowerPair only</t>
        </is>
      </c>
      <c r="C30" s="45">
        <f>C22</f>
        <v/>
      </c>
      <c r="D30" s="45">
        <f>C16</f>
        <v/>
      </c>
      <c r="E30" s="46">
        <f>IFERROR(RATE(C$9,-D30,C30),0)</f>
        <v/>
      </c>
      <c r="F30" s="47">
        <f>IF(E30&gt;=0.05,"Yes — feasible",IF(E30&gt;0,"No — requires subsidized rate","No — impossible even at 0%"))</f>
        <v/>
      </c>
    </row>
    <row r="31">
      <c r="B31" s="36" t="inlineStr">
        <is>
          <t>PV+S RSC, PowerPair + EnergyWise</t>
        </is>
      </c>
      <c r="C31" s="45">
        <f>C23</f>
        <v/>
      </c>
      <c r="D31" s="45">
        <f>C17</f>
        <v/>
      </c>
      <c r="E31" s="46">
        <f>IFERROR(RATE(C$9,-D31,C31),0)</f>
        <v/>
      </c>
      <c r="F31" s="47">
        <f>IF(E31&gt;=0.05,"Yes — feasible",IF(E31&gt;0,"No — requires subsidized rate","No — impossible even at 0%"))</f>
        <v/>
      </c>
    </row>
    <row r="32">
      <c r="B32" s="36" t="inlineStr">
        <is>
          <t>PV+S Bridge, No incentives</t>
        </is>
      </c>
      <c r="C32" s="45">
        <f>C21</f>
        <v/>
      </c>
      <c r="D32" s="45">
        <f>D16</f>
        <v/>
      </c>
      <c r="E32" s="46">
        <f>IFERROR(RATE(C$9,-D32,C32),0)</f>
        <v/>
      </c>
      <c r="F32" s="47">
        <f>IF(E32&gt;=0.05,"Yes — feasible",IF(E32&gt;0,"No — requires subsidized rate","No — impossible even at 0%"))</f>
        <v/>
      </c>
    </row>
    <row r="33">
      <c r="B33" s="36" t="inlineStr">
        <is>
          <t>PV+S Bridge, PowerPair only</t>
        </is>
      </c>
      <c r="C33" s="45">
        <f>C22</f>
        <v/>
      </c>
      <c r="D33" s="45">
        <f>D16</f>
        <v/>
      </c>
      <c r="E33" s="46">
        <f>IFERROR(RATE(C$9,-D33,C33),0)</f>
        <v/>
      </c>
      <c r="F33" s="47">
        <f>IF(E33&gt;=0.05,"Yes — feasible",IF(E33&gt;0,"No — requires subsidized rate","No — impossible even at 0%"))</f>
        <v/>
      </c>
    </row>
    <row r="34">
      <c r="B34" s="36" t="inlineStr">
        <is>
          <t>PV+S Bridge, PowerPair + EnergyWise</t>
        </is>
      </c>
      <c r="C34" s="45">
        <f>C23</f>
        <v/>
      </c>
      <c r="D34" s="45">
        <f>D17</f>
        <v/>
      </c>
      <c r="E34" s="46">
        <f>IFERROR(RATE(C$9,-D34,C34),0)</f>
        <v/>
      </c>
      <c r="F34" s="47">
        <f>IF(E34&gt;=0.05,"Yes — feasible",IF(E34&gt;0,"No — requires subsidized rate","No — impossible even at 0%"))</f>
        <v/>
      </c>
    </row>
    <row r="35">
      <c r="B35" s="36" t="inlineStr">
        <is>
          <t>Solar Only RSC, No incentives</t>
        </is>
      </c>
      <c r="C35" s="45">
        <f>C24</f>
        <v/>
      </c>
      <c r="D35" s="45">
        <f>C18</f>
        <v/>
      </c>
      <c r="E35" s="46">
        <f>IFERROR(RATE(C$9,-D35,C35),0)</f>
        <v/>
      </c>
      <c r="F35" s="47">
        <f>IF(E35&gt;=0.05,"Yes — feasible",IF(E35&gt;0,"No — requires subsidized rate","No — impossible even at 0%"))</f>
        <v/>
      </c>
    </row>
    <row r="36">
      <c r="B36" s="36" t="inlineStr">
        <is>
          <t>Solar Only Bridge, No incentives</t>
        </is>
      </c>
      <c r="C36" s="45">
        <f>C24</f>
        <v/>
      </c>
      <c r="D36" s="45">
        <f>D18</f>
        <v/>
      </c>
      <c r="E36" s="46">
        <f>IFERROR(RATE(C$9,-D36,C36),0)</f>
        <v/>
      </c>
      <c r="F36" s="47">
        <f>IF(E36&gt;=0.05,"Yes — feasible",IF(E36&gt;0,"No — requires subsidized rate","No — impossible even at 0%"))</f>
        <v/>
      </c>
    </row>
    <row r="38">
      <c r="B38" s="44" t="inlineStr">
        <is>
          <t>SECTION 2: REQUIRED DOWN PAYMENT FOR MONTH 1 NET POSITIVE</t>
        </is>
      </c>
    </row>
    <row r="39">
      <c r="B39" s="26" t="inlineStr">
        <is>
          <t>At each interest rate, the maximum financeable amount and required down payment</t>
        </is>
      </c>
    </row>
    <row r="40">
      <c r="B40" s="48" t="inlineStr">
        <is>
          <t>Interest Rate →</t>
        </is>
      </c>
      <c r="C40" s="49" t="n">
        <v>0.01</v>
      </c>
      <c r="D40" s="49" t="n">
        <v>0.02</v>
      </c>
      <c r="E40" s="49" t="n">
        <v>0.03</v>
      </c>
      <c r="F40" s="49" t="n">
        <v>0.04</v>
      </c>
      <c r="G40" s="49" t="n">
        <v>0.05</v>
      </c>
      <c r="H40" s="49" t="n">
        <v>0.06</v>
      </c>
      <c r="I40" s="49" t="n">
        <v>0.07240000000000001</v>
      </c>
    </row>
    <row r="42">
      <c r="B42" s="50" t="inlineStr">
        <is>
          <t>PV+S RSC, No PP, No EW</t>
        </is>
      </c>
      <c r="J42" s="26" t="inlineStr">
        <is>
          <t>Savings = bill only</t>
        </is>
      </c>
    </row>
    <row r="43">
      <c r="B43" s="36" t="inlineStr">
        <is>
          <t>Max Loan Amount</t>
        </is>
      </c>
      <c r="C43" s="45">
        <f>-PV(C$40,$C$9,-C16)</f>
        <v/>
      </c>
      <c r="D43" s="45">
        <f>-PV(D$40,$C$9,-C16)</f>
        <v/>
      </c>
      <c r="E43" s="45">
        <f>-PV(E$40,$C$9,-C16)</f>
        <v/>
      </c>
      <c r="F43" s="45">
        <f>-PV(F$40,$C$9,-C16)</f>
        <v/>
      </c>
      <c r="G43" s="45">
        <f>-PV(G$40,$C$9,-C16)</f>
        <v/>
      </c>
      <c r="H43" s="45">
        <f>-PV(H$40,$C$9,-C16)</f>
        <v/>
      </c>
      <c r="I43" s="45">
        <f>-PV(I$40,$C$9,-C16)</f>
        <v/>
      </c>
    </row>
    <row r="44">
      <c r="B44" s="36" t="inlineStr">
        <is>
          <t>Required Down Payment</t>
        </is>
      </c>
      <c r="C44" s="45">
        <f>MAX(0,C21-C43)</f>
        <v/>
      </c>
      <c r="D44" s="45">
        <f>MAX(0,C21-D43)</f>
        <v/>
      </c>
      <c r="E44" s="45">
        <f>MAX(0,C21-E43)</f>
        <v/>
      </c>
      <c r="F44" s="45">
        <f>MAX(0,C21-F43)</f>
        <v/>
      </c>
      <c r="G44" s="45">
        <f>MAX(0,C21-G43)</f>
        <v/>
      </c>
      <c r="H44" s="45">
        <f>MAX(0,C21-H43)</f>
        <v/>
      </c>
      <c r="I44" s="45">
        <f>MAX(0,C21-I43)</f>
        <v/>
      </c>
    </row>
    <row r="45">
      <c r="B45" s="36" t="inlineStr">
        <is>
          <t>Down Payment %</t>
        </is>
      </c>
      <c r="C45" s="51">
        <f>IF(C21=0,0,C44/C21)</f>
        <v/>
      </c>
      <c r="D45" s="51">
        <f>IF(C21=0,0,D44/C21)</f>
        <v/>
      </c>
      <c r="E45" s="51">
        <f>IF(C21=0,0,E44/C21)</f>
        <v/>
      </c>
      <c r="F45" s="51">
        <f>IF(C21=0,0,F44/C21)</f>
        <v/>
      </c>
      <c r="G45" s="51">
        <f>IF(C21=0,0,G44/C21)</f>
        <v/>
      </c>
      <c r="H45" s="51">
        <f>IF(C21=0,0,H44/C21)</f>
        <v/>
      </c>
      <c r="I45" s="51">
        <f>IF(C21=0,0,I44/C21)</f>
        <v/>
      </c>
    </row>
    <row r="47">
      <c r="B47" s="50" t="inlineStr">
        <is>
          <t>PV+S RSC, No PP, With EW</t>
        </is>
      </c>
      <c r="J47" s="26" t="inlineStr">
        <is>
          <t>Savings = bill + EnergyWise</t>
        </is>
      </c>
    </row>
    <row r="48">
      <c r="B48" s="36" t="inlineStr">
        <is>
          <t>Max Loan Amount</t>
        </is>
      </c>
      <c r="C48" s="45">
        <f>-PV(C$40,$C$9,-C17)</f>
        <v/>
      </c>
      <c r="D48" s="45">
        <f>-PV(D$40,$C$9,-C17)</f>
        <v/>
      </c>
      <c r="E48" s="45">
        <f>-PV(E$40,$C$9,-C17)</f>
        <v/>
      </c>
      <c r="F48" s="45">
        <f>-PV(F$40,$C$9,-C17)</f>
        <v/>
      </c>
      <c r="G48" s="45">
        <f>-PV(G$40,$C$9,-C17)</f>
        <v/>
      </c>
      <c r="H48" s="45">
        <f>-PV(H$40,$C$9,-C17)</f>
        <v/>
      </c>
      <c r="I48" s="45">
        <f>-PV(I$40,$C$9,-C17)</f>
        <v/>
      </c>
    </row>
    <row r="49">
      <c r="B49" s="36" t="inlineStr">
        <is>
          <t>Required Down Payment</t>
        </is>
      </c>
      <c r="C49" s="45">
        <f>MAX(0,C21-C48)</f>
        <v/>
      </c>
      <c r="D49" s="45">
        <f>MAX(0,C21-D48)</f>
        <v/>
      </c>
      <c r="E49" s="45">
        <f>MAX(0,C21-E48)</f>
        <v/>
      </c>
      <c r="F49" s="45">
        <f>MAX(0,C21-F48)</f>
        <v/>
      </c>
      <c r="G49" s="45">
        <f>MAX(0,C21-G48)</f>
        <v/>
      </c>
      <c r="H49" s="45">
        <f>MAX(0,C21-H48)</f>
        <v/>
      </c>
      <c r="I49" s="45">
        <f>MAX(0,C21-I48)</f>
        <v/>
      </c>
    </row>
    <row r="50">
      <c r="B50" s="36" t="inlineStr">
        <is>
          <t>Down Payment %</t>
        </is>
      </c>
      <c r="C50" s="51">
        <f>IF(C21=0,0,C49/C21)</f>
        <v/>
      </c>
      <c r="D50" s="51">
        <f>IF(C21=0,0,D49/C21)</f>
        <v/>
      </c>
      <c r="E50" s="51">
        <f>IF(C21=0,0,E49/C21)</f>
        <v/>
      </c>
      <c r="F50" s="51">
        <f>IF(C21=0,0,F49/C21)</f>
        <v/>
      </c>
      <c r="G50" s="51">
        <f>IF(C21=0,0,G49/C21)</f>
        <v/>
      </c>
      <c r="H50" s="51">
        <f>IF(C21=0,0,H49/C21)</f>
        <v/>
      </c>
      <c r="I50" s="51">
        <f>IF(C21=0,0,I49/C21)</f>
        <v/>
      </c>
    </row>
    <row r="52">
      <c r="B52" s="50" t="inlineStr">
        <is>
          <t>PV+S RSC, With PP, No EW</t>
        </is>
      </c>
      <c r="J52" s="26" t="inlineStr">
        <is>
          <t>Savings = bill only</t>
        </is>
      </c>
    </row>
    <row r="53">
      <c r="B53" s="36" t="inlineStr">
        <is>
          <t>Max Loan Amount</t>
        </is>
      </c>
      <c r="C53" s="45">
        <f>-PV(C$40,$C$9,-C16)</f>
        <v/>
      </c>
      <c r="D53" s="45">
        <f>-PV(D$40,$C$9,-C16)</f>
        <v/>
      </c>
      <c r="E53" s="45">
        <f>-PV(E$40,$C$9,-C16)</f>
        <v/>
      </c>
      <c r="F53" s="45">
        <f>-PV(F$40,$C$9,-C16)</f>
        <v/>
      </c>
      <c r="G53" s="45">
        <f>-PV(G$40,$C$9,-C16)</f>
        <v/>
      </c>
      <c r="H53" s="45">
        <f>-PV(H$40,$C$9,-C16)</f>
        <v/>
      </c>
      <c r="I53" s="45">
        <f>-PV(I$40,$C$9,-C16)</f>
        <v/>
      </c>
    </row>
    <row r="54">
      <c r="B54" s="36" t="inlineStr">
        <is>
          <t>Required Down Payment</t>
        </is>
      </c>
      <c r="C54" s="45">
        <f>MAX(0,C22-C53)</f>
        <v/>
      </c>
      <c r="D54" s="45">
        <f>MAX(0,C22-D53)</f>
        <v/>
      </c>
      <c r="E54" s="45">
        <f>MAX(0,C22-E53)</f>
        <v/>
      </c>
      <c r="F54" s="45">
        <f>MAX(0,C22-F53)</f>
        <v/>
      </c>
      <c r="G54" s="45">
        <f>MAX(0,C22-G53)</f>
        <v/>
      </c>
      <c r="H54" s="45">
        <f>MAX(0,C22-H53)</f>
        <v/>
      </c>
      <c r="I54" s="45">
        <f>MAX(0,C22-I53)</f>
        <v/>
      </c>
    </row>
    <row r="55">
      <c r="B55" s="36" t="inlineStr">
        <is>
          <t>Down Payment %</t>
        </is>
      </c>
      <c r="C55" s="51">
        <f>IF(C22=0,0,C54/C22)</f>
        <v/>
      </c>
      <c r="D55" s="51">
        <f>IF(C22=0,0,D54/C22)</f>
        <v/>
      </c>
      <c r="E55" s="51">
        <f>IF(C22=0,0,E54/C22)</f>
        <v/>
      </c>
      <c r="F55" s="51">
        <f>IF(C22=0,0,F54/C22)</f>
        <v/>
      </c>
      <c r="G55" s="51">
        <f>IF(C22=0,0,G54/C22)</f>
        <v/>
      </c>
      <c r="H55" s="51">
        <f>IF(C22=0,0,H54/C22)</f>
        <v/>
      </c>
      <c r="I55" s="51">
        <f>IF(C22=0,0,I54/C22)</f>
        <v/>
      </c>
    </row>
    <row r="57">
      <c r="B57" s="50" t="inlineStr">
        <is>
          <t>PV+S RSC, With PP + EW</t>
        </is>
      </c>
      <c r="J57" s="26" t="inlineStr">
        <is>
          <t>Savings = bill + EnergyWise</t>
        </is>
      </c>
    </row>
    <row r="58">
      <c r="B58" s="36" t="inlineStr">
        <is>
          <t>Max Loan Amount</t>
        </is>
      </c>
      <c r="C58" s="45">
        <f>-PV(C$40,$C$9,-C17)</f>
        <v/>
      </c>
      <c r="D58" s="45">
        <f>-PV(D$40,$C$9,-C17)</f>
        <v/>
      </c>
      <c r="E58" s="45">
        <f>-PV(E$40,$C$9,-C17)</f>
        <v/>
      </c>
      <c r="F58" s="45">
        <f>-PV(F$40,$C$9,-C17)</f>
        <v/>
      </c>
      <c r="G58" s="45">
        <f>-PV(G$40,$C$9,-C17)</f>
        <v/>
      </c>
      <c r="H58" s="45">
        <f>-PV(H$40,$C$9,-C17)</f>
        <v/>
      </c>
      <c r="I58" s="45">
        <f>-PV(I$40,$C$9,-C17)</f>
        <v/>
      </c>
    </row>
    <row r="59">
      <c r="B59" s="36" t="inlineStr">
        <is>
          <t>Required Down Payment</t>
        </is>
      </c>
      <c r="C59" s="45">
        <f>MAX(0,C22-C58)</f>
        <v/>
      </c>
      <c r="D59" s="45">
        <f>MAX(0,C22-D58)</f>
        <v/>
      </c>
      <c r="E59" s="45">
        <f>MAX(0,C22-E58)</f>
        <v/>
      </c>
      <c r="F59" s="45">
        <f>MAX(0,C22-F58)</f>
        <v/>
      </c>
      <c r="G59" s="45">
        <f>MAX(0,C22-G58)</f>
        <v/>
      </c>
      <c r="H59" s="45">
        <f>MAX(0,C22-H58)</f>
        <v/>
      </c>
      <c r="I59" s="45">
        <f>MAX(0,C22-I58)</f>
        <v/>
      </c>
    </row>
    <row r="60">
      <c r="B60" s="36" t="inlineStr">
        <is>
          <t>Down Payment %</t>
        </is>
      </c>
      <c r="C60" s="51">
        <f>IF(C22=0,0,C59/C22)</f>
        <v/>
      </c>
      <c r="D60" s="51">
        <f>IF(C22=0,0,D59/C22)</f>
        <v/>
      </c>
      <c r="E60" s="51">
        <f>IF(C22=0,0,E59/C22)</f>
        <v/>
      </c>
      <c r="F60" s="51">
        <f>IF(C22=0,0,F59/C22)</f>
        <v/>
      </c>
      <c r="G60" s="51">
        <f>IF(C22=0,0,G59/C22)</f>
        <v/>
      </c>
      <c r="H60" s="51">
        <f>IF(C22=0,0,H59/C22)</f>
        <v/>
      </c>
      <c r="I60" s="51">
        <f>IF(C22=0,0,I59/C22)</f>
        <v/>
      </c>
    </row>
    <row r="62">
      <c r="B62" s="50" t="inlineStr">
        <is>
          <t>PV+S Bridge, No PP, No EW</t>
        </is>
      </c>
    </row>
    <row r="63">
      <c r="B63" s="36" t="inlineStr">
        <is>
          <t>Max Loan Amount</t>
        </is>
      </c>
      <c r="C63" s="45">
        <f>-PV(C$40,$C$9,-D16)</f>
        <v/>
      </c>
      <c r="D63" s="45">
        <f>-PV(D$40,$C$9,-D16)</f>
        <v/>
      </c>
      <c r="E63" s="45">
        <f>-PV(E$40,$C$9,-D16)</f>
        <v/>
      </c>
      <c r="F63" s="45">
        <f>-PV(F$40,$C$9,-D16)</f>
        <v/>
      </c>
      <c r="G63" s="45">
        <f>-PV(G$40,$C$9,-D16)</f>
        <v/>
      </c>
      <c r="H63" s="45">
        <f>-PV(H$40,$C$9,-D16)</f>
        <v/>
      </c>
      <c r="I63" s="45">
        <f>-PV(I$40,$C$9,-D16)</f>
        <v/>
      </c>
    </row>
    <row r="64">
      <c r="B64" s="36" t="inlineStr">
        <is>
          <t>Required Down Payment</t>
        </is>
      </c>
      <c r="C64" s="45">
        <f>MAX(0,C21-C63)</f>
        <v/>
      </c>
      <c r="D64" s="45">
        <f>MAX(0,C21-D63)</f>
        <v/>
      </c>
      <c r="E64" s="45">
        <f>MAX(0,C21-E63)</f>
        <v/>
      </c>
      <c r="F64" s="45">
        <f>MAX(0,C21-F63)</f>
        <v/>
      </c>
      <c r="G64" s="45">
        <f>MAX(0,C21-G63)</f>
        <v/>
      </c>
      <c r="H64" s="45">
        <f>MAX(0,C21-H63)</f>
        <v/>
      </c>
      <c r="I64" s="45">
        <f>MAX(0,C21-I63)</f>
        <v/>
      </c>
    </row>
    <row r="65">
      <c r="B65" s="36" t="inlineStr">
        <is>
          <t>Down Payment %</t>
        </is>
      </c>
      <c r="C65" s="51">
        <f>IF(C21=0,0,C64/C21)</f>
        <v/>
      </c>
      <c r="D65" s="51">
        <f>IF(C21=0,0,D64/C21)</f>
        <v/>
      </c>
      <c r="E65" s="51">
        <f>IF(C21=0,0,E64/C21)</f>
        <v/>
      </c>
      <c r="F65" s="51">
        <f>IF(C21=0,0,F64/C21)</f>
        <v/>
      </c>
      <c r="G65" s="51">
        <f>IF(C21=0,0,G64/C21)</f>
        <v/>
      </c>
      <c r="H65" s="51">
        <f>IF(C21=0,0,H64/C21)</f>
        <v/>
      </c>
      <c r="I65" s="51">
        <f>IF(C21=0,0,I64/C21)</f>
        <v/>
      </c>
    </row>
    <row r="67">
      <c r="B67" s="50" t="inlineStr">
        <is>
          <t>PV+S Bridge, With PP + EW</t>
        </is>
      </c>
    </row>
    <row r="68">
      <c r="B68" s="36" t="inlineStr">
        <is>
          <t>Max Loan Amount</t>
        </is>
      </c>
      <c r="C68" s="45">
        <f>-PV(C$40,$C$9,-D17)</f>
        <v/>
      </c>
      <c r="D68" s="45">
        <f>-PV(D$40,$C$9,-D17)</f>
        <v/>
      </c>
      <c r="E68" s="45">
        <f>-PV(E$40,$C$9,-D17)</f>
        <v/>
      </c>
      <c r="F68" s="45">
        <f>-PV(F$40,$C$9,-D17)</f>
        <v/>
      </c>
      <c r="G68" s="45">
        <f>-PV(G$40,$C$9,-D17)</f>
        <v/>
      </c>
      <c r="H68" s="45">
        <f>-PV(H$40,$C$9,-D17)</f>
        <v/>
      </c>
      <c r="I68" s="45">
        <f>-PV(I$40,$C$9,-D17)</f>
        <v/>
      </c>
    </row>
    <row r="69">
      <c r="B69" s="36" t="inlineStr">
        <is>
          <t>Required Down Payment</t>
        </is>
      </c>
      <c r="C69" s="45">
        <f>MAX(0,C22-C68)</f>
        <v/>
      </c>
      <c r="D69" s="45">
        <f>MAX(0,C22-D68)</f>
        <v/>
      </c>
      <c r="E69" s="45">
        <f>MAX(0,C22-E68)</f>
        <v/>
      </c>
      <c r="F69" s="45">
        <f>MAX(0,C22-F68)</f>
        <v/>
      </c>
      <c r="G69" s="45">
        <f>MAX(0,C22-G68)</f>
        <v/>
      </c>
      <c r="H69" s="45">
        <f>MAX(0,C22-H68)</f>
        <v/>
      </c>
      <c r="I69" s="45">
        <f>MAX(0,C22-I68)</f>
        <v/>
      </c>
    </row>
    <row r="70">
      <c r="B70" s="36" t="inlineStr">
        <is>
          <t>Down Payment %</t>
        </is>
      </c>
      <c r="C70" s="51">
        <f>IF(C22=0,0,C69/C22)</f>
        <v/>
      </c>
      <c r="D70" s="51">
        <f>IF(C22=0,0,D69/C22)</f>
        <v/>
      </c>
      <c r="E70" s="51">
        <f>IF(C22=0,0,E69/C22)</f>
        <v/>
      </c>
      <c r="F70" s="51">
        <f>IF(C22=0,0,F69/C22)</f>
        <v/>
      </c>
      <c r="G70" s="51">
        <f>IF(C22=0,0,G69/C22)</f>
        <v/>
      </c>
      <c r="H70" s="51">
        <f>IF(C22=0,0,H69/C22)</f>
        <v/>
      </c>
      <c r="I70" s="51">
        <f>IF(C22=0,0,I69/C22)</f>
        <v/>
      </c>
    </row>
    <row r="72">
      <c r="B72" s="50" t="inlineStr">
        <is>
          <t>Solar Only RSC</t>
        </is>
      </c>
    </row>
    <row r="73">
      <c r="B73" s="36" t="inlineStr">
        <is>
          <t>Max Loan Amount</t>
        </is>
      </c>
      <c r="C73" s="45">
        <f>-PV(C$40,$C$9,-C18)</f>
        <v/>
      </c>
      <c r="D73" s="45">
        <f>-PV(D$40,$C$9,-C18)</f>
        <v/>
      </c>
      <c r="E73" s="45">
        <f>-PV(E$40,$C$9,-C18)</f>
        <v/>
      </c>
      <c r="F73" s="45">
        <f>-PV(F$40,$C$9,-C18)</f>
        <v/>
      </c>
      <c r="G73" s="45">
        <f>-PV(G$40,$C$9,-C18)</f>
        <v/>
      </c>
      <c r="H73" s="45">
        <f>-PV(H$40,$C$9,-C18)</f>
        <v/>
      </c>
      <c r="I73" s="45">
        <f>-PV(I$40,$C$9,-C18)</f>
        <v/>
      </c>
    </row>
    <row r="74">
      <c r="B74" s="36" t="inlineStr">
        <is>
          <t>Required Down Payment</t>
        </is>
      </c>
      <c r="C74" s="45">
        <f>MAX(0,C24-C73)</f>
        <v/>
      </c>
      <c r="D74" s="45">
        <f>MAX(0,C24-D73)</f>
        <v/>
      </c>
      <c r="E74" s="45">
        <f>MAX(0,C24-E73)</f>
        <v/>
      </c>
      <c r="F74" s="45">
        <f>MAX(0,C24-F73)</f>
        <v/>
      </c>
      <c r="G74" s="45">
        <f>MAX(0,C24-G73)</f>
        <v/>
      </c>
      <c r="H74" s="45">
        <f>MAX(0,C24-H73)</f>
        <v/>
      </c>
      <c r="I74" s="45">
        <f>MAX(0,C24-I73)</f>
        <v/>
      </c>
    </row>
    <row r="75">
      <c r="B75" s="36" t="inlineStr">
        <is>
          <t>Down Payment %</t>
        </is>
      </c>
      <c r="C75" s="51">
        <f>IF(C24=0,0,C74/C24)</f>
        <v/>
      </c>
      <c r="D75" s="51">
        <f>IF(C24=0,0,D74/C24)</f>
        <v/>
      </c>
      <c r="E75" s="51">
        <f>IF(C24=0,0,E74/C24)</f>
        <v/>
      </c>
      <c r="F75" s="51">
        <f>IF(C24=0,0,F74/C24)</f>
        <v/>
      </c>
      <c r="G75" s="51">
        <f>IF(C24=0,0,G74/C24)</f>
        <v/>
      </c>
      <c r="H75" s="51">
        <f>IF(C24=0,0,H74/C24)</f>
        <v/>
      </c>
      <c r="I75" s="51">
        <f>IF(C24=0,0,I74/C24)</f>
        <v/>
      </c>
    </row>
    <row r="77">
      <c r="B77" s="50" t="inlineStr">
        <is>
          <t>Solar Only Bridge</t>
        </is>
      </c>
    </row>
    <row r="78">
      <c r="B78" s="36" t="inlineStr">
        <is>
          <t>Max Loan Amount</t>
        </is>
      </c>
      <c r="C78" s="45">
        <f>-PV(C$40,$C$9,-D18)</f>
        <v/>
      </c>
      <c r="D78" s="45">
        <f>-PV(D$40,$C$9,-D18)</f>
        <v/>
      </c>
      <c r="E78" s="45">
        <f>-PV(E$40,$C$9,-D18)</f>
        <v/>
      </c>
      <c r="F78" s="45">
        <f>-PV(F$40,$C$9,-D18)</f>
        <v/>
      </c>
      <c r="G78" s="45">
        <f>-PV(G$40,$C$9,-D18)</f>
        <v/>
      </c>
      <c r="H78" s="45">
        <f>-PV(H$40,$C$9,-D18)</f>
        <v/>
      </c>
      <c r="I78" s="45">
        <f>-PV(I$40,$C$9,-D18)</f>
        <v/>
      </c>
    </row>
    <row r="79">
      <c r="B79" s="36" t="inlineStr">
        <is>
          <t>Required Down Payment</t>
        </is>
      </c>
      <c r="C79" s="45">
        <f>MAX(0,C24-C78)</f>
        <v/>
      </c>
      <c r="D79" s="45">
        <f>MAX(0,C24-D78)</f>
        <v/>
      </c>
      <c r="E79" s="45">
        <f>MAX(0,C24-E78)</f>
        <v/>
      </c>
      <c r="F79" s="45">
        <f>MAX(0,C24-F78)</f>
        <v/>
      </c>
      <c r="G79" s="45">
        <f>MAX(0,C24-G78)</f>
        <v/>
      </c>
      <c r="H79" s="45">
        <f>MAX(0,C24-H78)</f>
        <v/>
      </c>
      <c r="I79" s="45">
        <f>MAX(0,C24-I78)</f>
        <v/>
      </c>
    </row>
    <row r="80">
      <c r="B80" s="36" t="inlineStr">
        <is>
          <t>Down Payment %</t>
        </is>
      </c>
      <c r="C80" s="51">
        <f>IF(C24=0,0,C79/C24)</f>
        <v/>
      </c>
      <c r="D80" s="51">
        <f>IF(C24=0,0,D79/C24)</f>
        <v/>
      </c>
      <c r="E80" s="51">
        <f>IF(C24=0,0,E79/C24)</f>
        <v/>
      </c>
      <c r="F80" s="51">
        <f>IF(C24=0,0,F79/C24)</f>
        <v/>
      </c>
      <c r="G80" s="51">
        <f>IF(C24=0,0,G79/C24)</f>
        <v/>
      </c>
      <c r="H80" s="51">
        <f>IF(C24=0,0,H79/C24)</f>
        <v/>
      </c>
      <c r="I80" s="51">
        <f>IF(C24=0,0,I79/C24)</f>
        <v/>
      </c>
    </row>
    <row r="83">
      <c r="B83" s="44" t="inlineStr">
        <is>
          <t>SECTION 3: PAYBACK PERIOD ANALYSIS (WITHOUT ITC)</t>
        </is>
      </c>
    </row>
    <row r="84">
      <c r="B84" s="26" t="inlineStr">
        <is>
          <t>Industry benchmark: &lt;12.5 years = acceptable (half of 25-year warranty); NC avg with ITC ≈ 14.8 years (EnergySage)</t>
        </is>
      </c>
    </row>
    <row r="85">
      <c r="B85" s="42" t="inlineStr">
        <is>
          <t>Net Cost</t>
        </is>
      </c>
      <c r="C85" s="42" t="inlineStr">
        <is>
          <t>Yr1 Savings</t>
        </is>
      </c>
      <c r="D85" s="42" t="inlineStr">
        <is>
          <t>Simple Payback</t>
        </is>
      </c>
      <c r="E85" s="42" t="inlineStr">
        <is>
          <t>Discounted Payback*</t>
        </is>
      </c>
      <c r="F85" s="42" t="inlineStr">
        <is>
          <t>Assessment</t>
        </is>
      </c>
    </row>
    <row r="86">
      <c r="B86" s="36" t="inlineStr">
        <is>
          <t>PV+S, No incentives, RSC</t>
        </is>
      </c>
      <c r="C86" s="45">
        <f>C21</f>
        <v/>
      </c>
      <c r="D86" s="45">
        <f>C16</f>
        <v/>
      </c>
      <c r="E86" s="52">
        <f>IF(C16&lt;=0,"N/A",C21/C16)</f>
        <v/>
      </c>
      <c r="F86" s="52">
        <f>IFERROR(NPER((1+$C$12)/(1+$C$10)-1,-C16,C21),"Never")</f>
        <v/>
      </c>
      <c r="G86" s="47">
        <f>IF(ISNUMBER(E86),IF(E86&lt;=10,"Attractive",IF(E86&lt;=12.5,"Acceptable",IF(E86&lt;=25,"Exceeds warranty period","Unviable"))),"Unviable")</f>
        <v/>
      </c>
    </row>
    <row r="87">
      <c r="B87" s="36" t="inlineStr">
        <is>
          <t>PV+S, No incentives, Bridge</t>
        </is>
      </c>
      <c r="C87" s="45">
        <f>C21</f>
        <v/>
      </c>
      <c r="D87" s="45">
        <f>D16</f>
        <v/>
      </c>
      <c r="E87" s="52">
        <f>IF(D16&lt;=0,"N/A",C21/D16)</f>
        <v/>
      </c>
      <c r="F87" s="52">
        <f>IFERROR(NPER((1+$C$12)/(1+$C$10)-1,-D16,C21),"Never")</f>
        <v/>
      </c>
      <c r="G87" s="47">
        <f>IF(ISNUMBER(E87),IF(E87&lt;=10,"Attractive",IF(E87&lt;=12.5,"Acceptable",IF(E87&lt;=25,"Exceeds warranty period","Unviable"))),"Unviable")</f>
        <v/>
      </c>
    </row>
    <row r="88">
      <c r="B88" s="36" t="inlineStr">
        <is>
          <t>PV+S, PowerPair only, RSC</t>
        </is>
      </c>
      <c r="C88" s="45">
        <f>C22</f>
        <v/>
      </c>
      <c r="D88" s="45">
        <f>C16</f>
        <v/>
      </c>
      <c r="E88" s="52">
        <f>IF(C16&lt;=0,"N/A",C22/C16)</f>
        <v/>
      </c>
      <c r="F88" s="52">
        <f>IFERROR(NPER((1+$C$12)/(1+$C$10)-1,-C16,C22),"Never")</f>
        <v/>
      </c>
      <c r="G88" s="47">
        <f>IF(ISNUMBER(E88),IF(E88&lt;=10,"Attractive",IF(E88&lt;=12.5,"Acceptable",IF(E88&lt;=25,"Exceeds warranty period","Unviable"))),"Unviable")</f>
        <v/>
      </c>
    </row>
    <row r="89">
      <c r="B89" s="36" t="inlineStr">
        <is>
          <t>PV+S, PowerPair only, Bridge</t>
        </is>
      </c>
      <c r="C89" s="45">
        <f>C22</f>
        <v/>
      </c>
      <c r="D89" s="45">
        <f>D16</f>
        <v/>
      </c>
      <c r="E89" s="52">
        <f>IF(D16&lt;=0,"N/A",C22/D16)</f>
        <v/>
      </c>
      <c r="F89" s="52">
        <f>IFERROR(NPER((1+$C$12)/(1+$C$10)-1,-D16,C22),"Never")</f>
        <v/>
      </c>
      <c r="G89" s="47">
        <f>IF(ISNUMBER(E89),IF(E89&lt;=10,"Attractive",IF(E89&lt;=12.5,"Acceptable",IF(E89&lt;=25,"Exceeds warranty period","Unviable"))),"Unviable")</f>
        <v/>
      </c>
    </row>
    <row r="90">
      <c r="B90" s="36" t="inlineStr">
        <is>
          <t>PV+S, PP + EW, RSC</t>
        </is>
      </c>
      <c r="C90" s="45">
        <f>C22</f>
        <v/>
      </c>
      <c r="D90" s="45">
        <f>C17</f>
        <v/>
      </c>
      <c r="E90" s="52">
        <f>IF(C17&lt;=0,"N/A",C22/C17)</f>
        <v/>
      </c>
      <c r="F90" s="52">
        <f>IFERROR(NPER((1+$C$12)/(1+$C$10)-1,-C17,C22),"Never")</f>
        <v/>
      </c>
      <c r="G90" s="47">
        <f>IF(ISNUMBER(E90),IF(E90&lt;=10,"Attractive",IF(E90&lt;=12.5,"Acceptable",IF(E90&lt;=25,"Exceeds warranty period","Unviable"))),"Unviable")</f>
        <v/>
      </c>
    </row>
    <row r="91">
      <c r="B91" s="36" t="inlineStr">
        <is>
          <t>PV+S, PP + EW, Bridge</t>
        </is>
      </c>
      <c r="C91" s="45">
        <f>C22</f>
        <v/>
      </c>
      <c r="D91" s="45">
        <f>D17</f>
        <v/>
      </c>
      <c r="E91" s="52">
        <f>IF(D17&lt;=0,"N/A",C22/D17)</f>
        <v/>
      </c>
      <c r="F91" s="52">
        <f>IFERROR(NPER((1+$C$12)/(1+$C$10)-1,-D17,C22),"Never")</f>
        <v/>
      </c>
      <c r="G91" s="47">
        <f>IF(ISNUMBER(E91),IF(E91&lt;=10,"Attractive",IF(E91&lt;=12.5,"Acceptable",IF(E91&lt;=25,"Exceeds warranty period","Unviable"))),"Unviable")</f>
        <v/>
      </c>
    </row>
    <row r="92">
      <c r="B92" s="36" t="inlineStr">
        <is>
          <t>Solar Only, RSC</t>
        </is>
      </c>
      <c r="C92" s="45">
        <f>C24</f>
        <v/>
      </c>
      <c r="D92" s="45">
        <f>C18</f>
        <v/>
      </c>
      <c r="E92" s="52">
        <f>IF(C18&lt;=0,"N/A",C24/C18)</f>
        <v/>
      </c>
      <c r="F92" s="52">
        <f>IFERROR(NPER((1+$C$12)/(1+$C$10)-1,-C18,C24),"Never")</f>
        <v/>
      </c>
      <c r="G92" s="47">
        <f>IF(ISNUMBER(E92),IF(E92&lt;=10,"Attractive",IF(E92&lt;=12.5,"Acceptable",IF(E92&lt;=25,"Exceeds warranty period","Unviable"))),"Unviable")</f>
        <v/>
      </c>
    </row>
    <row r="93">
      <c r="B93" s="36" t="inlineStr">
        <is>
          <t>Solar Only, Bridge</t>
        </is>
      </c>
      <c r="C93" s="45">
        <f>C24</f>
        <v/>
      </c>
      <c r="D93" s="45">
        <f>D18</f>
        <v/>
      </c>
      <c r="E93" s="52">
        <f>IF(D18&lt;=0,"N/A",C24/D18)</f>
        <v/>
      </c>
      <c r="F93" s="52">
        <f>IFERROR(NPER((1+$C$12)/(1+$C$10)-1,-D18,C24),"Never")</f>
        <v/>
      </c>
      <c r="G93" s="47">
        <f>IF(ISNUMBER(E93),IF(E93&lt;=10,"Attractive",IF(E93&lt;=12.5,"Acceptable",IF(E93&lt;=25,"Exceeds warranty period","Unviable"))),"Unviable")</f>
        <v/>
      </c>
    </row>
    <row r="95">
      <c r="B95" s="26" t="inlineStr">
        <is>
          <t>* Discounted payback accounts for bill escalation (2.5%/yr) and customer discount rate (6.4%)</t>
        </is>
      </c>
    </row>
    <row r="97">
      <c r="B97" s="44" t="inlineStr">
        <is>
          <t>SECTION 4: WHAT WOULD IT TAKE? — REALISTIC LOAN PARAMETERS</t>
        </is>
      </c>
      <c r="H97" s="50" t="inlineStr">
        <is>
          <t>Assumed Rate:</t>
        </is>
      </c>
      <c r="I97" s="53" t="n">
        <v>0.05</v>
      </c>
    </row>
    <row r="98">
      <c r="B98" s="26" t="inlineStr">
        <is>
          <t>Given NC market conditions (electricity ~14¢/kWh, best available rate ~5-6%), what combination works?</t>
        </is>
      </c>
    </row>
    <row r="99">
      <c r="B99" s="42" t="inlineStr">
        <is>
          <t>Scenario</t>
        </is>
      </c>
      <c r="C99" s="42" t="inlineStr">
        <is>
          <t>System Cost</t>
        </is>
      </c>
      <c r="D99" s="42" t="inlineStr">
        <is>
          <t>Max Loan at 5%</t>
        </is>
      </c>
      <c r="E99" s="42" t="inlineStr">
        <is>
          <t>Required Down Pmt</t>
        </is>
      </c>
      <c r="F99" s="42" t="inlineStr">
        <is>
          <t>Down %</t>
        </is>
      </c>
      <c r="G99" s="42" t="inlineStr">
        <is>
          <t>Monthly PMT</t>
        </is>
      </c>
      <c r="H99" s="42" t="inlineStr">
        <is>
          <t>Monthly Savings</t>
        </is>
      </c>
      <c r="I99" s="42" t="inlineStr">
        <is>
          <t>Month 1 Net</t>
        </is>
      </c>
    </row>
    <row r="100">
      <c r="B100" s="36" t="inlineStr">
        <is>
          <t>PV+S, No PP, bill savings only</t>
        </is>
      </c>
      <c r="C100" s="45">
        <f>C21</f>
        <v/>
      </c>
      <c r="D100" s="45">
        <f>-PV($I$97,$C$9,-C16)</f>
        <v/>
      </c>
      <c r="E100" s="45">
        <f>MAX(0,C100-D100)</f>
        <v/>
      </c>
      <c r="F100" s="51">
        <f>IF(C100=0,0,E100/C100)</f>
        <v/>
      </c>
      <c r="G100" s="54">
        <f>-PMT($I$97,$C$9,MIN(D100,C100))/12</f>
        <v/>
      </c>
      <c r="H100" s="54">
        <f>C16/12</f>
        <v/>
      </c>
      <c r="I100" s="54">
        <f>H100-G100</f>
        <v/>
      </c>
    </row>
    <row r="101">
      <c r="B101" s="36" t="inlineStr">
        <is>
          <t>PV+S, PP, bill savings only</t>
        </is>
      </c>
      <c r="C101" s="45">
        <f>C22</f>
        <v/>
      </c>
      <c r="D101" s="45">
        <f>-PV($I$97,$C$9,-C16)</f>
        <v/>
      </c>
      <c r="E101" s="45">
        <f>MAX(0,C101-D101)</f>
        <v/>
      </c>
      <c r="F101" s="51">
        <f>IF(C101=0,0,E101/C101)</f>
        <v/>
      </c>
      <c r="G101" s="54">
        <f>-PMT($I$97,$C$9,MIN(D101,C101))/12</f>
        <v/>
      </c>
      <c r="H101" s="54">
        <f>C16/12</f>
        <v/>
      </c>
      <c r="I101" s="54">
        <f>H101-G101</f>
        <v/>
      </c>
    </row>
    <row r="102">
      <c r="B102" s="36" t="inlineStr">
        <is>
          <t>PV+S, PP+EW, total savings</t>
        </is>
      </c>
      <c r="C102" s="45">
        <f>C22</f>
        <v/>
      </c>
      <c r="D102" s="45">
        <f>-PV($I$97,$C$9,-C17)</f>
        <v/>
      </c>
      <c r="E102" s="45">
        <f>MAX(0,C102-D102)</f>
        <v/>
      </c>
      <c r="F102" s="51">
        <f>IF(C102=0,0,E102/C102)</f>
        <v/>
      </c>
      <c r="G102" s="54">
        <f>-PMT($I$97,$C$9,MIN(D102,C102))/12</f>
        <v/>
      </c>
      <c r="H102" s="54">
        <f>C17/12</f>
        <v/>
      </c>
      <c r="I102" s="54">
        <f>H102-G102</f>
        <v/>
      </c>
    </row>
    <row r="103">
      <c r="B103" s="36" t="inlineStr">
        <is>
          <t>Solar Only, bill savings only (RSC)</t>
        </is>
      </c>
      <c r="C103" s="45">
        <f>C24</f>
        <v/>
      </c>
      <c r="D103" s="45">
        <f>-PV($I$97,$C$9,-C18)</f>
        <v/>
      </c>
      <c r="E103" s="45">
        <f>MAX(0,C103-D103)</f>
        <v/>
      </c>
      <c r="F103" s="51">
        <f>IF(C103=0,0,E103/C103)</f>
        <v/>
      </c>
      <c r="G103" s="54">
        <f>-PMT($I$97,$C$9,MIN(D103,C103))/12</f>
        <v/>
      </c>
      <c r="H103" s="54">
        <f>C18/12</f>
        <v/>
      </c>
      <c r="I103" s="54">
        <f>H103-G103</f>
        <v/>
      </c>
    </row>
    <row r="104">
      <c r="B104" s="36" t="inlineStr">
        <is>
          <t>Solar Only, bill savings only (Bridge)</t>
        </is>
      </c>
      <c r="C104" s="45">
        <f>C24</f>
        <v/>
      </c>
      <c r="D104" s="45">
        <f>-PV($I$97,$C$9,-D18)</f>
        <v/>
      </c>
      <c r="E104" s="45">
        <f>MAX(0,C104-D104)</f>
        <v/>
      </c>
      <c r="F104" s="51">
        <f>IF(C104=0,0,E104/C104)</f>
        <v/>
      </c>
      <c r="G104" s="54">
        <f>-PMT($I$97,$C$9,MIN(D104,C104))/12</f>
        <v/>
      </c>
      <c r="H104" s="54">
        <f>D18/12</f>
        <v/>
      </c>
      <c r="I104" s="54">
        <f>H104-G104</f>
        <v/>
      </c>
    </row>
    <row r="107">
      <c r="B107" s="35" t="inlineStr">
        <is>
          <t>MARKET CONTEXT &amp; SOURCES</t>
        </is>
      </c>
    </row>
    <row r="108">
      <c r="B108" s="26" t="inlineStr">
        <is>
          <t>NC avg solar payback with ITC: ~14.8 years (EnergySage, 2025)</t>
        </is>
      </c>
    </row>
    <row r="109">
      <c r="B109" s="26" t="inlineStr">
        <is>
          <t>Industry "acceptable" threshold: &lt;12.5 years (half of 25-year panel warranty)</t>
        </is>
      </c>
    </row>
    <row r="110">
      <c r="B110" s="26" t="inlineStr">
        <is>
          <t>Consumer-attractive range: 6-10 years; still reasonable: 10-12 years</t>
        </is>
      </c>
    </row>
    <row r="111">
      <c r="B111" s="26" t="inlineStr">
        <is>
          <t>Best available NC solar loan rate: ~5-6% APR (credit unions, no dealer fees)</t>
        </is>
      </c>
    </row>
    <row r="112">
      <c r="B112" s="26" t="inlineStr">
        <is>
          <t>NC co-op programs: Piedmont Electric 5% / 7yr (cap $15,000)</t>
        </is>
      </c>
    </row>
    <row r="113">
      <c r="B113" s="26" t="inlineStr">
        <is>
          <t>NC Clean Energy Fund (CDFI): below-market rates, launched Aug 2024</t>
        </is>
      </c>
    </row>
    <row r="114">
      <c r="B114" s="26" t="inlineStr">
        <is>
          <t>Advertised sub-2% rates embed 25-40% dealer fees in principal (CFPB, Aug 2024)</t>
        </is>
      </c>
    </row>
    <row r="115">
      <c r="B115" s="26" t="inlineStr">
        <is>
          <t>NC electricity rate: ~14.1¢/kWh (Duke Energy) — below national avg, limits bill savings</t>
        </is>
      </c>
    </row>
    <row r="116">
      <c r="B116" s="26" t="inlineStr">
        <is>
          <t>Solar for All (EnergizeNC): $156M program paused as of Aug 2025 (EPA termination)</t>
        </is>
      </c>
    </row>
    <row r="118">
      <c r="B118" s="55" t="inlineStr">
        <is>
          <t>KEY FINDINGS</t>
        </is>
      </c>
    </row>
    <row r="119">
      <c r="B119" s="36" t="inlineStr">
        <is>
          <t>1. Without ITC, no NC scenario achieves Year 1 net positive at 100% financing and market rates (5-7%).</t>
        </is>
      </c>
    </row>
    <row r="120">
      <c r="B120" s="36" t="inlineStr">
        <is>
          <t>2. Only PV+Storage with PowerPair AND EnergyWise reaches breakeven — but requires ~2% rate (below any market rate).</t>
        </is>
      </c>
    </row>
    <row r="121">
      <c r="B121" s="36" t="inlineStr">
        <is>
          <t>3. Standalone solar cannot achieve Year 1 net positive even at 0% interest — annual PMT ($652) &gt; savings ($503-$631).</t>
        </is>
      </c>
    </row>
    <row r="122">
      <c r="B122" s="36" t="inlineStr">
        <is>
          <t>4. At best available rate (5%), PV+S with PP+EW needs ~19% down payment; without incentives, needs ~65% down.</t>
        </is>
      </c>
    </row>
    <row r="123">
      <c r="B123" s="36" t="inlineStr">
        <is>
          <t>5. Simple payback without ITC ranges from 19-40 years — all exceed the 25-year panel warranty period.</t>
        </is>
      </c>
    </row>
    <row r="124">
      <c r="B124" s="36" t="inlineStr">
        <is>
          <t>6. Policy implication: ITC or equivalent subsidy is necessary for loan-financed solar to be cash-flow positive in 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Duke NSOE MEM 2026 Cohort</dc:creator>
  <dcterms:created xmlns:dcterms="http://purl.org/dc/terms/" xmlns:xsi="http://www.w3.org/2001/XMLSchema-instance" xsi:type="dcterms:W3CDTF">2026-03-16T14:22:32Z</dcterms:created>
  <dcterms:modified xmlns:dcterms="http://purl.org/dc/terms/" xmlns:xsi="http://www.w3.org/2001/XMLSchema-instance" xsi:type="dcterms:W3CDTF">2026-03-16T15:41:41Z</dcterms:modified>
  <cp:lastModifiedBy>Duke NSOE MEM 2026 Cohort</cp:lastModifiedBy>
</cp:coreProperties>
</file>