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3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+MWHlMQ7n4w+p86PF72CxD4DbS+sHMpvoGHoS+dUNQ="/>
    </ext>
  </extLst>
</workbook>
</file>

<file path=xl/sharedStrings.xml><?xml version="1.0" encoding="utf-8"?>
<sst xmlns="http://schemas.openxmlformats.org/spreadsheetml/2006/main" count="136" uniqueCount="29">
  <si>
    <t>100% Debt Fraction Solar Loan (No Incentives used)</t>
  </si>
  <si>
    <t>Debt</t>
  </si>
  <si>
    <t>Interest Rate</t>
  </si>
  <si>
    <t>Discount Rate</t>
  </si>
  <si>
    <t>Federal ITC ($)</t>
  </si>
  <si>
    <t>Power Pair ($)</t>
  </si>
  <si>
    <t>EnergyWise Battery Credits ($/yr)</t>
  </si>
  <si>
    <t>Year 0</t>
  </si>
  <si>
    <t>Year 1</t>
  </si>
  <si>
    <t>Total ($)</t>
  </si>
  <si>
    <t>NPV ($)</t>
  </si>
  <si>
    <t>Year</t>
  </si>
  <si>
    <t>Debt Balance ($)</t>
  </si>
  <si>
    <t>Interest Payment ($)</t>
  </si>
  <si>
    <t>Principal Payment ($)</t>
  </si>
  <si>
    <t>Total P &amp; I Debt Payment ($)</t>
  </si>
  <si>
    <t>Value of Electricity Bill Savings ($)</t>
  </si>
  <si>
    <t>Saving from Incentives ($)</t>
  </si>
  <si>
    <t>Total Savings</t>
  </si>
  <si>
    <t>Net Saving</t>
  </si>
  <si>
    <t>100% Debt Fraction Solar Loan 
(with Fed ITC + State Incentives)</t>
  </si>
  <si>
    <t>Total Saving ($)</t>
  </si>
  <si>
    <t>Full Upfront Payment (Mr. Stiegler)</t>
  </si>
  <si>
    <t>Value of electricity savings ($)</t>
  </si>
  <si>
    <t>100% Debt Fraction Solar Loan (No FedITC)</t>
  </si>
  <si>
    <t>100% Debt Fraction Solar Loan (Incentives not used to pay back debt)</t>
  </si>
  <si>
    <t>Electricity bill without system ($)</t>
  </si>
  <si>
    <t>Electricity bill with system ($)</t>
  </si>
  <si>
    <t>100% Debt Fraction Solar Loan 
(ITC are cashed in and all incentives are used to pay back debt)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</si>
</sst>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0.0%"/>
    <numFmt numFmtId="166" formatCode="_(&quot;$&quot;* #,##0.00_);_(&quot;$&quot;* \(#,##0.00\);_(&quot;$&quot;* &quot;-&quot;??_);_(@_)"/>
    <numFmt numFmtId="167" formatCode="0.0"/>
  </numFmts>
  <fonts count="15">
    <font>
      <sz val="12.0"/>
      <color theme="1"/>
      <name val="Aptos Narrow"/>
      <scheme val="minor"/>
    </font>
    <font>
      <b/>
      <sz val="20.0"/>
      <color theme="0"/>
      <name val="Aptos Narrow"/>
    </font>
    <font>
      <sz val="16.0"/>
      <color theme="1"/>
      <name val="Aptos Narrow"/>
    </font>
    <font>
      <sz val="12.0"/>
      <color theme="1"/>
      <name val="Aptos Narrow"/>
    </font>
    <font>
      <sz val="16.0"/>
      <color theme="0"/>
      <name val="Aptos Narrow"/>
    </font>
    <font>
      <b/>
      <sz val="16.0"/>
      <color theme="0"/>
      <name val="Aptos Narrow"/>
    </font>
    <font>
      <sz val="12.0"/>
      <color theme="0"/>
      <name val="Aptos Narrow"/>
    </font>
    <font>
      <b/>
      <sz val="16.0"/>
      <color theme="1"/>
      <name val="Aptos Narrow"/>
    </font>
    <font>
      <sz val="16.0"/>
      <color rgb="FFFF0000"/>
      <name val="Aptos Narrow"/>
    </font>
    <font>
      <b/>
      <sz val="16.0"/>
      <color rgb="FFFF0000"/>
      <name val="Aptos Narrow"/>
    </font>
    <font>
      <sz val="16.0"/>
      <color rgb="FFFFFFFF"/>
      <name val="Arial"/>
    </font>
    <font>
      <b/>
      <sz val="12.0"/>
      <color theme="1"/>
      <name val="Aptos Narrow"/>
    </font>
    <font>
      <b/>
      <sz val="16.0"/>
      <color rgb="FF000000"/>
      <name val="Aptos Narrow"/>
    </font>
    <font>
      <b/>
      <sz val="20.0"/>
      <color theme="1"/>
      <name val="Aptos Narrow"/>
    </font>
    <font>
      <sz val="16.0"/>
      <color rgb="FFFFFFFF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BF4F14"/>
        <bgColor rgb="FFBF4F14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0F4861"/>
        <bgColor rgb="FF0F4861"/>
      </patternFill>
    </fill>
    <fill>
      <patternFill patternType="solid">
        <fgColor rgb="FFC1E4F5"/>
        <bgColor rgb="FFC1E4F5"/>
      </patternFill>
    </fill>
    <fill>
      <patternFill patternType="solid">
        <fgColor rgb="FF215E99"/>
        <bgColor rgb="FF215E99"/>
      </patternFill>
    </fill>
    <fill>
      <patternFill patternType="solid">
        <fgColor rgb="FFDBE9F7"/>
        <bgColor rgb="FFDBE9F7"/>
      </patternFill>
    </fill>
    <fill>
      <patternFill patternType="solid">
        <fgColor rgb="FF3A7D22"/>
        <bgColor rgb="FF3A7D22"/>
      </patternFill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2" fontId="4" numFmtId="164" xfId="0" applyAlignment="1" applyBorder="1" applyFont="1" applyNumberFormat="1">
      <alignment horizontal="left" shrinkToFit="0" vertical="center" wrapText="1"/>
    </xf>
    <xf borderId="1" fillId="2" fontId="3" numFmtId="0" xfId="0" applyBorder="1" applyFont="1"/>
    <xf borderId="1" fillId="2" fontId="2" numFmtId="164" xfId="0" applyAlignment="1" applyBorder="1" applyFont="1" applyNumberFormat="1">
      <alignment horizontal="left" vertical="center"/>
    </xf>
    <xf borderId="1" fillId="2" fontId="4" numFmtId="164" xfId="0" applyAlignment="1" applyBorder="1" applyFont="1" applyNumberFormat="1">
      <alignment horizontal="right" shrinkToFit="0" vertical="center" wrapText="1"/>
    </xf>
    <xf borderId="1" fillId="3" fontId="4" numFmtId="164" xfId="0" applyAlignment="1" applyBorder="1" applyFont="1" applyNumberFormat="1">
      <alignment horizontal="left" shrinkToFit="0" vertical="center" wrapText="1"/>
    </xf>
    <xf borderId="1" fillId="2" fontId="5" numFmtId="10" xfId="0" applyAlignment="1" applyBorder="1" applyFont="1" applyNumberFormat="1">
      <alignment horizontal="right" shrinkToFit="0" vertical="center" wrapText="1"/>
    </xf>
    <xf borderId="1" fillId="2" fontId="4" numFmtId="165" xfId="0" applyAlignment="1" applyBorder="1" applyFont="1" applyNumberFormat="1">
      <alignment horizontal="right" shrinkToFit="0" vertical="center" wrapText="1"/>
    </xf>
    <xf borderId="1" fillId="2" fontId="4" numFmtId="0" xfId="0" applyAlignment="1" applyBorder="1" applyFont="1">
      <alignment horizontal="left" vertical="center"/>
    </xf>
    <xf borderId="1" fillId="2" fontId="4" numFmtId="1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left" vertical="center"/>
    </xf>
    <xf borderId="1" fillId="2" fontId="6" numFmtId="0" xfId="0" applyBorder="1" applyFont="1"/>
    <xf borderId="1" fillId="3" fontId="2" numFmtId="0" xfId="0" applyAlignment="1" applyBorder="1" applyFont="1">
      <alignment horizontal="left" vertical="center"/>
    </xf>
    <xf borderId="1" fillId="4" fontId="2" numFmtId="0" xfId="0" applyBorder="1" applyFill="1" applyFont="1"/>
    <xf borderId="1" fillId="4" fontId="7" numFmtId="0" xfId="0" applyBorder="1" applyFont="1"/>
    <xf borderId="1" fillId="4" fontId="7" numFmtId="164" xfId="0" applyAlignment="1" applyBorder="1" applyFont="1" applyNumberFormat="1">
      <alignment horizontal="left" vertical="center"/>
    </xf>
    <xf borderId="1" fillId="3" fontId="3" numFmtId="0" xfId="0" applyBorder="1" applyFont="1"/>
    <xf borderId="1" fillId="4" fontId="2" numFmtId="1" xfId="0" applyAlignment="1" applyBorder="1" applyFont="1" applyNumberFormat="1">
      <alignment horizontal="left" vertical="center"/>
    </xf>
    <xf borderId="1" fillId="3" fontId="2" numFmtId="0" xfId="0" applyBorder="1" applyFont="1"/>
    <xf borderId="1" fillId="4" fontId="7" numFmtId="164" xfId="0" applyAlignment="1" applyBorder="1" applyFont="1" applyNumberFormat="1">
      <alignment horizontal="left" shrinkToFit="0" wrapText="1"/>
    </xf>
    <xf borderId="1" fillId="4" fontId="2" numFmtId="164" xfId="0" applyAlignment="1" applyBorder="1" applyFont="1" applyNumberFormat="1">
      <alignment horizontal="left" vertical="center"/>
    </xf>
    <xf borderId="1" fillId="4" fontId="8" numFmtId="164" xfId="0" applyAlignment="1" applyBorder="1" applyFont="1" applyNumberFormat="1">
      <alignment horizontal="left" vertical="center"/>
    </xf>
    <xf borderId="1" fillId="4" fontId="8" numFmtId="164" xfId="0" applyAlignment="1" applyBorder="1" applyFont="1" applyNumberFormat="1">
      <alignment horizontal="left"/>
    </xf>
    <xf borderId="1" fillId="4" fontId="7" numFmtId="164" xfId="0" applyAlignment="1" applyBorder="1" applyFont="1" applyNumberFormat="1">
      <alignment horizontal="left"/>
    </xf>
    <xf borderId="1" fillId="4" fontId="2" numFmtId="164" xfId="0" applyAlignment="1" applyBorder="1" applyFont="1" applyNumberFormat="1">
      <alignment horizontal="left"/>
    </xf>
    <xf borderId="1" fillId="4" fontId="7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left"/>
    </xf>
    <xf borderId="1" fillId="4" fontId="2" numFmtId="1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4" fontId="9" numFmtId="164" xfId="0" applyBorder="1" applyFont="1" applyNumberFormat="1"/>
    <xf borderId="1" fillId="4" fontId="2" numFmtId="164" xfId="0" applyBorder="1" applyFont="1" applyNumberFormat="1"/>
    <xf borderId="1" fillId="4" fontId="9" numFmtId="164" xfId="0" applyAlignment="1" applyBorder="1" applyFont="1" applyNumberFormat="1">
      <alignment horizontal="left"/>
    </xf>
    <xf borderId="1" fillId="5" fontId="1" numFmtId="164" xfId="0" applyAlignment="1" applyBorder="1" applyFill="1" applyFont="1" applyNumberFormat="1">
      <alignment horizontal="left" shrinkToFit="0" vertical="center" wrapText="1"/>
    </xf>
    <xf borderId="1" fillId="5" fontId="2" numFmtId="164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shrinkToFit="0" wrapText="1"/>
    </xf>
    <xf borderId="1" fillId="5" fontId="4" numFmtId="164" xfId="0" applyAlignment="1" applyBorder="1" applyFont="1" applyNumberFormat="1">
      <alignment horizontal="left" shrinkToFit="0" vertical="center" wrapText="1"/>
    </xf>
    <xf borderId="1" fillId="5" fontId="3" numFmtId="0" xfId="0" applyBorder="1" applyFont="1"/>
    <xf borderId="1" fillId="5" fontId="2" numFmtId="164" xfId="0" applyAlignment="1" applyBorder="1" applyFont="1" applyNumberFormat="1">
      <alignment horizontal="left" vertical="center"/>
    </xf>
    <xf borderId="1" fillId="5" fontId="4" numFmtId="164" xfId="0" applyAlignment="1" applyBorder="1" applyFont="1" applyNumberFormat="1">
      <alignment horizontal="right" shrinkToFit="0" vertical="center" wrapText="1"/>
    </xf>
    <xf borderId="1" fillId="5" fontId="4" numFmtId="10" xfId="0" applyAlignment="1" applyBorder="1" applyFont="1" applyNumberFormat="1">
      <alignment horizontal="right" shrinkToFit="0" vertical="center" wrapText="1"/>
    </xf>
    <xf borderId="1" fillId="5" fontId="4" numFmtId="0" xfId="0" applyAlignment="1" applyBorder="1" applyFont="1">
      <alignment horizontal="left" vertical="center"/>
    </xf>
    <xf borderId="1" fillId="5" fontId="4" numFmtId="1" xfId="0" applyAlignment="1" applyBorder="1" applyFont="1" applyNumberFormat="1">
      <alignment horizontal="right" vertical="center"/>
    </xf>
    <xf borderId="1" fillId="5" fontId="10" numFmtId="1" xfId="0" applyAlignment="1" applyBorder="1" applyFont="1" applyNumberFormat="1">
      <alignment horizontal="right" readingOrder="0" vertical="center"/>
    </xf>
    <xf borderId="1" fillId="5" fontId="6" numFmtId="0" xfId="0" applyBorder="1" applyFont="1"/>
    <xf borderId="1" fillId="6" fontId="2" numFmtId="0" xfId="0" applyBorder="1" applyFill="1" applyFont="1"/>
    <xf borderId="1" fillId="6" fontId="7" numFmtId="0" xfId="0" applyBorder="1" applyFont="1"/>
    <xf borderId="1" fillId="6" fontId="7" numFmtId="164" xfId="0" applyAlignment="1" applyBorder="1" applyFont="1" applyNumberFormat="1">
      <alignment horizontal="left" vertical="center"/>
    </xf>
    <xf borderId="1" fillId="6" fontId="2" numFmtId="1" xfId="0" applyAlignment="1" applyBorder="1" applyFont="1" applyNumberFormat="1">
      <alignment horizontal="left" vertical="center"/>
    </xf>
    <xf borderId="1" fillId="6" fontId="7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/>
    </xf>
    <xf borderId="1" fillId="6" fontId="2" numFmtId="164" xfId="0" applyAlignment="1" applyBorder="1" applyFont="1" applyNumberFormat="1">
      <alignment horizontal="left"/>
    </xf>
    <xf borderId="1" fillId="6" fontId="2" numFmtId="0" xfId="0" applyAlignment="1" applyBorder="1" applyFont="1">
      <alignment horizontal="left" vertical="center"/>
    </xf>
    <xf borderId="1" fillId="6" fontId="2" numFmtId="166" xfId="0" applyAlignment="1" applyBorder="1" applyFont="1" applyNumberFormat="1">
      <alignment horizontal="left" vertical="center"/>
    </xf>
    <xf borderId="1" fillId="6" fontId="7" numFmtId="0" xfId="0" applyAlignment="1" applyBorder="1" applyFont="1">
      <alignment horizontal="left"/>
    </xf>
    <xf borderId="1" fillId="6" fontId="2" numFmtId="166" xfId="0" applyAlignment="1" applyBorder="1" applyFont="1" applyNumberFormat="1">
      <alignment horizontal="left"/>
    </xf>
    <xf borderId="1" fillId="6" fontId="2" numFmtId="164" xfId="0" applyBorder="1" applyFont="1" applyNumberFormat="1"/>
    <xf borderId="1" fillId="6" fontId="7" numFmtId="164" xfId="0" applyBorder="1" applyFont="1" applyNumberFormat="1"/>
    <xf borderId="1" fillId="6" fontId="2" numFmtId="166" xfId="0" applyBorder="1" applyFont="1" applyNumberFormat="1"/>
    <xf borderId="1" fillId="6" fontId="7" numFmtId="166" xfId="0" applyBorder="1" applyFont="1" applyNumberFormat="1"/>
    <xf borderId="1" fillId="6" fontId="7" numFmtId="164" xfId="0" applyAlignment="1" applyBorder="1" applyFont="1" applyNumberFormat="1">
      <alignment horizontal="left"/>
    </xf>
    <xf borderId="1" fillId="5" fontId="7" numFmtId="0" xfId="0" applyBorder="1" applyFont="1"/>
    <xf borderId="1" fillId="5" fontId="2" numFmtId="0" xfId="0" applyBorder="1" applyFont="1"/>
    <xf borderId="1" fillId="5" fontId="7" numFmtId="166" xfId="0" applyAlignment="1" applyBorder="1" applyFont="1" applyNumberFormat="1">
      <alignment horizontal="left"/>
    </xf>
    <xf borderId="1" fillId="3" fontId="11" numFmtId="1" xfId="0" applyBorder="1" applyFont="1" applyNumberFormat="1"/>
    <xf borderId="1" fillId="7" fontId="1" numFmtId="164" xfId="0" applyAlignment="1" applyBorder="1" applyFill="1" applyFont="1" applyNumberFormat="1">
      <alignment horizontal="left" shrinkToFit="0" vertical="center" wrapText="1"/>
    </xf>
    <xf borderId="1" fillId="7" fontId="4" numFmtId="164" xfId="0" applyAlignment="1" applyBorder="1" applyFont="1" applyNumberFormat="1">
      <alignment horizontal="left" shrinkToFit="0" vertical="center" wrapText="1"/>
    </xf>
    <xf borderId="1" fillId="7" fontId="4" numFmtId="0" xfId="0" applyAlignment="1" applyBorder="1" applyFont="1">
      <alignment shrinkToFit="0" wrapText="1"/>
    </xf>
    <xf borderId="1" fillId="7" fontId="6" numFmtId="0" xfId="0" applyBorder="1" applyFont="1"/>
    <xf borderId="1" fillId="7" fontId="3" numFmtId="0" xfId="0" applyBorder="1" applyFont="1"/>
    <xf borderId="1" fillId="7" fontId="4" numFmtId="164" xfId="0" applyAlignment="1" applyBorder="1" applyFont="1" applyNumberFormat="1">
      <alignment shrinkToFit="0" wrapText="1"/>
    </xf>
    <xf borderId="1" fillId="7" fontId="4" numFmtId="10" xfId="0" applyAlignment="1" applyBorder="1" applyFont="1" applyNumberFormat="1">
      <alignment shrinkToFit="0" wrapText="1"/>
    </xf>
    <xf borderId="1" fillId="7" fontId="4" numFmtId="0" xfId="0" applyAlignment="1" applyBorder="1" applyFont="1">
      <alignment horizontal="left" vertical="center"/>
    </xf>
    <xf borderId="1" fillId="7" fontId="4" numFmtId="167" xfId="0" applyAlignment="1" applyBorder="1" applyFont="1" applyNumberFormat="1">
      <alignment horizontal="right" vertical="center"/>
    </xf>
    <xf borderId="1" fillId="7" fontId="10" numFmtId="1" xfId="0" applyAlignment="1" applyBorder="1" applyFont="1" applyNumberFormat="1">
      <alignment horizontal="right" readingOrder="0" vertical="center"/>
    </xf>
    <xf borderId="1" fillId="7" fontId="4" numFmtId="1" xfId="0" applyAlignment="1" applyBorder="1" applyFont="1" applyNumberFormat="1">
      <alignment horizontal="right" vertical="center"/>
    </xf>
    <xf borderId="1" fillId="8" fontId="2" numFmtId="0" xfId="0" applyBorder="1" applyFill="1" applyFont="1"/>
    <xf borderId="1" fillId="8" fontId="7" numFmtId="0" xfId="0" applyBorder="1" applyFont="1"/>
    <xf borderId="1" fillId="8" fontId="7" numFmtId="164" xfId="0" applyAlignment="1" applyBorder="1" applyFont="1" applyNumberFormat="1">
      <alignment horizontal="left" vertical="center"/>
    </xf>
    <xf borderId="1" fillId="8" fontId="2" numFmtId="1" xfId="0" applyAlignment="1" applyBorder="1" applyFont="1" applyNumberFormat="1">
      <alignment horizontal="left" vertical="center"/>
    </xf>
    <xf borderId="1" fillId="8" fontId="7" numFmtId="164" xfId="0" applyAlignment="1" applyBorder="1" applyFont="1" applyNumberFormat="1">
      <alignment horizontal="left" shrinkToFit="0" wrapText="1"/>
    </xf>
    <xf borderId="1" fillId="8" fontId="7" numFmtId="166" xfId="0" applyAlignment="1" applyBorder="1" applyFont="1" applyNumberFormat="1">
      <alignment horizontal="left" vertical="center"/>
    </xf>
    <xf borderId="1" fillId="8" fontId="2" numFmtId="166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 shrinkToFit="0" wrapText="1"/>
    </xf>
    <xf borderId="1" fillId="8" fontId="2" numFmtId="164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/>
    </xf>
    <xf borderId="1" fillId="8" fontId="8" numFmtId="164" xfId="0" applyAlignment="1" applyBorder="1" applyFont="1" applyNumberFormat="1">
      <alignment horizontal="left" vertical="center"/>
    </xf>
    <xf borderId="1" fillId="8" fontId="8" numFmtId="164" xfId="0" applyAlignment="1" applyBorder="1" applyFont="1" applyNumberFormat="1">
      <alignment horizontal="left"/>
    </xf>
    <xf borderId="1" fillId="8" fontId="2" numFmtId="0" xfId="0" applyAlignment="1" applyBorder="1" applyFont="1">
      <alignment horizontal="left" vertical="center"/>
    </xf>
    <xf borderId="1" fillId="8" fontId="7" numFmtId="0" xfId="0" applyAlignment="1" applyBorder="1" applyFont="1">
      <alignment horizontal="left"/>
    </xf>
    <xf borderId="1" fillId="8" fontId="2" numFmtId="164" xfId="0" applyBorder="1" applyFont="1" applyNumberFormat="1"/>
    <xf borderId="1" fillId="8" fontId="12" numFmtId="164" xfId="0" applyAlignment="1" applyBorder="1" applyFont="1" applyNumberFormat="1">
      <alignment horizontal="left"/>
    </xf>
    <xf borderId="1" fillId="9" fontId="1" numFmtId="164" xfId="0" applyAlignment="1" applyBorder="1" applyFill="1" applyFont="1" applyNumberFormat="1">
      <alignment horizontal="left" shrinkToFit="0" vertical="center" wrapText="1"/>
    </xf>
    <xf borderId="1" fillId="9" fontId="2" numFmtId="164" xfId="0" applyAlignment="1" applyBorder="1" applyFont="1" applyNumberFormat="1">
      <alignment horizontal="left" shrinkToFit="0" vertical="center" wrapText="1"/>
    </xf>
    <xf borderId="1" fillId="9" fontId="2" numFmtId="0" xfId="0" applyAlignment="1" applyBorder="1" applyFont="1">
      <alignment shrinkToFit="0" wrapText="1"/>
    </xf>
    <xf borderId="1" fillId="9" fontId="4" numFmtId="164" xfId="0" applyAlignment="1" applyBorder="1" applyFont="1" applyNumberFormat="1">
      <alignment horizontal="left" shrinkToFit="0" vertical="center" wrapText="1"/>
    </xf>
    <xf borderId="1" fillId="9" fontId="3" numFmtId="0" xfId="0" applyBorder="1" applyFont="1"/>
    <xf borderId="1" fillId="9" fontId="2" numFmtId="164" xfId="0" applyAlignment="1" applyBorder="1" applyFont="1" applyNumberFormat="1">
      <alignment horizontal="left" vertical="center"/>
    </xf>
    <xf borderId="1" fillId="9" fontId="4" numFmtId="164" xfId="0" applyAlignment="1" applyBorder="1" applyFont="1" applyNumberFormat="1">
      <alignment horizontal="right" shrinkToFit="0" vertical="center" wrapText="1"/>
    </xf>
    <xf borderId="1" fillId="9" fontId="4" numFmtId="10" xfId="0" applyAlignment="1" applyBorder="1" applyFont="1" applyNumberFormat="1">
      <alignment horizontal="right" shrinkToFit="0" vertical="center" wrapText="1"/>
    </xf>
    <xf borderId="1" fillId="9" fontId="4" numFmtId="165" xfId="0" applyAlignment="1" applyBorder="1" applyFont="1" applyNumberFormat="1">
      <alignment horizontal="right" shrinkToFit="0" vertical="center" wrapText="1"/>
    </xf>
    <xf borderId="1" fillId="9" fontId="4" numFmtId="0" xfId="0" applyAlignment="1" applyBorder="1" applyFont="1">
      <alignment horizontal="left" vertical="center"/>
    </xf>
    <xf borderId="1" fillId="9" fontId="4" numFmtId="1" xfId="0" applyAlignment="1" applyBorder="1" applyFont="1" applyNumberFormat="1">
      <alignment horizontal="right" vertical="center"/>
    </xf>
    <xf borderId="1" fillId="10" fontId="2" numFmtId="0" xfId="0" applyBorder="1" applyFill="1" applyFont="1"/>
    <xf borderId="1" fillId="10" fontId="7" numFmtId="0" xfId="0" applyBorder="1" applyFont="1"/>
    <xf borderId="1" fillId="10" fontId="7" numFmtId="164" xfId="0" applyAlignment="1" applyBorder="1" applyFont="1" applyNumberFormat="1">
      <alignment horizontal="left" vertical="center"/>
    </xf>
    <xf borderId="1" fillId="10" fontId="11" numFmtId="0" xfId="0" applyBorder="1" applyFont="1"/>
    <xf borderId="1" fillId="10" fontId="2" numFmtId="164" xfId="0" applyAlignment="1" applyBorder="1" applyFont="1" applyNumberFormat="1">
      <alignment horizontal="left" vertical="center"/>
    </xf>
    <xf borderId="1" fillId="10" fontId="2" numFmtId="164" xfId="0" applyBorder="1" applyFont="1" applyNumberFormat="1"/>
    <xf borderId="1" fillId="10" fontId="7" numFmtId="164" xfId="0" applyAlignment="1" applyBorder="1" applyFont="1" applyNumberFormat="1">
      <alignment horizontal="left" shrinkToFit="0" wrapText="1"/>
    </xf>
    <xf borderId="1" fillId="10" fontId="8" numFmtId="164" xfId="0" applyAlignment="1" applyBorder="1" applyFont="1" applyNumberFormat="1">
      <alignment horizontal="left" vertical="center"/>
    </xf>
    <xf borderId="1" fillId="10" fontId="8" numFmtId="164" xfId="0" applyAlignment="1" applyBorder="1" applyFont="1" applyNumberFormat="1">
      <alignment horizontal="left"/>
    </xf>
    <xf borderId="1" fillId="10" fontId="7" numFmtId="164" xfId="0" applyAlignment="1" applyBorder="1" applyFont="1" applyNumberFormat="1">
      <alignment horizontal="left"/>
    </xf>
    <xf borderId="1" fillId="10" fontId="2" numFmtId="1" xfId="0" applyAlignment="1" applyBorder="1" applyFont="1" applyNumberFormat="1">
      <alignment horizontal="left" vertical="center"/>
    </xf>
    <xf borderId="1" fillId="10" fontId="2" numFmtId="164" xfId="0" applyAlignment="1" applyBorder="1" applyFont="1" applyNumberFormat="1">
      <alignment horizontal="left"/>
    </xf>
    <xf borderId="1" fillId="10" fontId="7" numFmtId="0" xfId="0" applyAlignment="1" applyBorder="1" applyFont="1">
      <alignment horizontal="left" vertical="center"/>
    </xf>
    <xf borderId="1" fillId="10" fontId="7" numFmtId="0" xfId="0" applyAlignment="1" applyBorder="1" applyFont="1">
      <alignment horizontal="left"/>
    </xf>
    <xf borderId="1" fillId="10" fontId="9" numFmtId="164" xfId="0" applyBorder="1" applyFont="1" applyNumberFormat="1"/>
    <xf borderId="1" fillId="10" fontId="9" numFmtId="164" xfId="0" applyAlignment="1" applyBorder="1" applyFont="1" applyNumberFormat="1">
      <alignment horizontal="left"/>
    </xf>
    <xf borderId="1" fillId="2" fontId="4" numFmtId="0" xfId="0" applyAlignment="1" applyBorder="1" applyFont="1">
      <alignment horizontal="right" shrinkToFit="0" vertical="center" wrapText="1"/>
    </xf>
    <xf borderId="1" fillId="2" fontId="4" numFmtId="10" xfId="0" applyAlignment="1" applyBorder="1" applyFont="1" applyNumberFormat="1">
      <alignment horizontal="right" shrinkToFit="0" vertical="center" wrapText="1"/>
    </xf>
    <xf borderId="1" fillId="2" fontId="4" numFmtId="167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right" vertical="center"/>
    </xf>
    <xf borderId="1" fillId="4" fontId="7" numFmtId="1" xfId="0" applyAlignment="1" applyBorder="1" applyFont="1" applyNumberFormat="1">
      <alignment horizontal="left" vertical="center"/>
    </xf>
    <xf borderId="1" fillId="4" fontId="7" numFmtId="1" xfId="0" applyAlignment="1" applyBorder="1" applyFont="1" applyNumberFormat="1">
      <alignment horizontal="left"/>
    </xf>
    <xf borderId="1" fillId="4" fontId="9" numFmtId="166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left" vertical="center"/>
    </xf>
    <xf borderId="1" fillId="5" fontId="4" numFmtId="0" xfId="0" applyAlignment="1" applyBorder="1" applyFont="1">
      <alignment horizontal="right" shrinkToFit="0" vertical="center" wrapText="1"/>
    </xf>
    <xf borderId="1" fillId="5" fontId="4" numFmtId="167" xfId="0" applyAlignment="1" applyBorder="1" applyFont="1" applyNumberFormat="1">
      <alignment horizontal="right" vertical="center"/>
    </xf>
    <xf borderId="1" fillId="5" fontId="4" numFmtId="0" xfId="0" applyAlignment="1" applyBorder="1" applyFont="1">
      <alignment horizontal="right" vertical="center"/>
    </xf>
    <xf borderId="1" fillId="6" fontId="13" numFmtId="164" xfId="0" applyAlignment="1" applyBorder="1" applyFont="1" applyNumberFormat="1">
      <alignment horizontal="left" shrinkToFit="0" vertical="center" wrapText="1"/>
    </xf>
    <xf borderId="1" fillId="6" fontId="2" numFmtId="164" xfId="0" applyAlignment="1" applyBorder="1" applyFont="1" applyNumberFormat="1">
      <alignment horizontal="left" shrinkToFit="0" vertical="center" wrapText="1"/>
    </xf>
    <xf borderId="1" fillId="6" fontId="2" numFmtId="0" xfId="0" applyAlignment="1" applyBorder="1" applyFont="1">
      <alignment shrinkToFit="0" wrapText="1"/>
    </xf>
    <xf borderId="1" fillId="6" fontId="2" numFmtId="1" xfId="0" applyAlignment="1" applyBorder="1" applyFont="1" applyNumberFormat="1">
      <alignment horizontal="left"/>
    </xf>
    <xf borderId="1" fillId="6" fontId="7" numFmtId="1" xfId="0" applyAlignment="1" applyBorder="1" applyFont="1" applyNumberFormat="1">
      <alignment horizontal="left" vertical="center"/>
    </xf>
    <xf borderId="1" fillId="6" fontId="7" numFmtId="1" xfId="0" applyAlignment="1" applyBorder="1" applyFont="1" applyNumberFormat="1">
      <alignment horizontal="left"/>
    </xf>
    <xf borderId="1" fillId="6" fontId="7" numFmtId="166" xfId="0" applyAlignment="1" applyBorder="1" applyFont="1" applyNumberFormat="1">
      <alignment horizontal="left"/>
    </xf>
    <xf borderId="1" fillId="3" fontId="14" numFmtId="164" xfId="0" applyAlignment="1" applyBorder="1" applyFont="1" applyNumberFormat="1">
      <alignment horizontal="left" shrinkToFit="0" vertical="center" wrapText="1"/>
    </xf>
    <xf borderId="1" fillId="3" fontId="14" numFmtId="0" xfId="0" applyAlignment="1" applyBorder="1" applyFont="1">
      <alignment horizontal="right" shrinkToFit="0" vertical="center" wrapText="1"/>
    </xf>
    <xf borderId="1" fillId="3" fontId="14" numFmtId="10" xfId="0" applyAlignment="1" applyBorder="1" applyFont="1" applyNumberFormat="1">
      <alignment horizontal="right" shrinkToFit="0" vertical="center" wrapText="1"/>
    </xf>
    <xf borderId="1" fillId="3" fontId="14" numFmtId="0" xfId="0" applyAlignment="1" applyBorder="1" applyFont="1">
      <alignment horizontal="left" vertical="center"/>
    </xf>
    <xf borderId="1" fillId="3" fontId="14" numFmtId="167" xfId="0" applyAlignment="1" applyBorder="1" applyFont="1" applyNumberFormat="1">
      <alignment horizontal="right" vertical="center"/>
    </xf>
    <xf borderId="1" fillId="7" fontId="14" numFmtId="0" xfId="0" applyAlignment="1" applyBorder="1" applyFont="1">
      <alignment horizontal="left" vertical="center"/>
    </xf>
    <xf borderId="1" fillId="7" fontId="14" numFmtId="167" xfId="0" applyAlignment="1" applyBorder="1" applyFont="1" applyNumberFormat="1">
      <alignment horizontal="right" vertical="center"/>
    </xf>
    <xf borderId="1" fillId="3" fontId="14" numFmtId="0" xfId="0" applyAlignment="1" applyBorder="1" applyFont="1">
      <alignment horizontal="right" vertical="center"/>
    </xf>
    <xf borderId="1" fillId="7" fontId="14" numFmtId="0" xfId="0" applyAlignment="1" applyBorder="1" applyFont="1">
      <alignment horizontal="right" vertical="center"/>
    </xf>
    <xf borderId="1" fillId="8" fontId="13" numFmtId="164" xfId="0" applyAlignment="1" applyBorder="1" applyFont="1" applyNumberFormat="1">
      <alignment horizontal="left" shrinkToFit="0" vertical="center" wrapText="1"/>
    </xf>
    <xf borderId="1" fillId="8" fontId="2" numFmtId="164" xfId="0" applyAlignment="1" applyBorder="1" applyFont="1" applyNumberFormat="1">
      <alignment horizontal="left" shrinkToFit="0" vertical="center" wrapText="1"/>
    </xf>
    <xf borderId="1" fillId="8" fontId="2" numFmtId="0" xfId="0" applyAlignment="1" applyBorder="1" applyFont="1">
      <alignment shrinkToFit="0" wrapText="1"/>
    </xf>
    <xf borderId="1" fillId="8" fontId="2" numFmtId="1" xfId="0" applyAlignment="1" applyBorder="1" applyFont="1" applyNumberFormat="1">
      <alignment horizontal="left"/>
    </xf>
    <xf borderId="1" fillId="8" fontId="7" numFmtId="1" xfId="0" applyAlignment="1" applyBorder="1" applyFont="1" applyNumberFormat="1">
      <alignment horizontal="left" vertical="center"/>
    </xf>
    <xf borderId="1" fillId="8" fontId="7" numFmtId="1" xfId="0" applyAlignment="1" applyBorder="1" applyFont="1" applyNumberFormat="1">
      <alignment horizontal="left"/>
    </xf>
    <xf borderId="1" fillId="8" fontId="7" numFmtId="164" xfId="0" applyAlignment="1" applyBorder="1" applyFont="1" applyNumberFormat="1">
      <alignment horizontal="left"/>
    </xf>
    <xf borderId="1" fillId="8" fontId="7" numFmtId="16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min="2" max="2" width="14.44"/>
    <col customWidth="1" min="3" max="3" width="14.78"/>
    <col customWidth="1" min="4" max="5" width="16.44"/>
    <col customWidth="1" min="6" max="23" width="14.78"/>
    <col customWidth="1" min="24" max="27" width="13.44"/>
    <col customWidth="1" min="28" max="29" width="17.0"/>
    <col customWidth="1" min="30" max="30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/>
      <c r="AC2" s="8">
        <v>16302.0</v>
      </c>
      <c r="AD2" s="9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10">
        <v>0.0724</v>
      </c>
      <c r="AD3" s="9"/>
    </row>
    <row r="4">
      <c r="A4" s="5" t="s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6"/>
      <c r="AC4" s="11">
        <v>0.064</v>
      </c>
      <c r="AD4" s="9"/>
    </row>
    <row r="5" hidden="1">
      <c r="A5" s="12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3">
        <f>AC2*0.3</f>
        <v>4890.6</v>
      </c>
      <c r="AD5" s="14"/>
    </row>
    <row r="6" hidden="1">
      <c r="A6" s="12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13">
        <v>2077.2</v>
      </c>
      <c r="AD6" s="14"/>
    </row>
    <row r="7" hidden="1">
      <c r="A7" s="12" t="s">
        <v>6</v>
      </c>
      <c r="B7" s="15"/>
      <c r="C7" s="1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3">
        <v>0.0</v>
      </c>
      <c r="AD7" s="16"/>
    </row>
    <row r="8">
      <c r="A8" s="17"/>
      <c r="B8" s="18" t="s">
        <v>7</v>
      </c>
      <c r="C8" s="18" t="s">
        <v>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 t="s">
        <v>9</v>
      </c>
      <c r="AC8" s="19" t="s">
        <v>10</v>
      </c>
      <c r="AD8" s="20"/>
    </row>
    <row r="9" hidden="1">
      <c r="A9" s="19" t="s">
        <v>11</v>
      </c>
      <c r="B9" s="21">
        <v>0.0</v>
      </c>
      <c r="C9" s="21">
        <v>1.0</v>
      </c>
      <c r="D9" s="21">
        <v>2.0</v>
      </c>
      <c r="E9" s="21">
        <v>3.0</v>
      </c>
      <c r="F9" s="21">
        <v>4.0</v>
      </c>
      <c r="G9" s="21">
        <v>5.0</v>
      </c>
      <c r="H9" s="21">
        <v>6.0</v>
      </c>
      <c r="I9" s="21">
        <v>7.0</v>
      </c>
      <c r="J9" s="21">
        <v>8.0</v>
      </c>
      <c r="K9" s="21">
        <v>9.0</v>
      </c>
      <c r="L9" s="21">
        <v>10.0</v>
      </c>
      <c r="M9" s="21">
        <v>11.0</v>
      </c>
      <c r="N9" s="21">
        <v>12.0</v>
      </c>
      <c r="O9" s="21">
        <v>13.0</v>
      </c>
      <c r="P9" s="21">
        <v>14.0</v>
      </c>
      <c r="Q9" s="21">
        <v>15.0</v>
      </c>
      <c r="R9" s="21">
        <v>16.0</v>
      </c>
      <c r="S9" s="21">
        <v>17.0</v>
      </c>
      <c r="T9" s="21">
        <v>18.0</v>
      </c>
      <c r="U9" s="21">
        <v>19.0</v>
      </c>
      <c r="V9" s="21">
        <v>20.0</v>
      </c>
      <c r="W9" s="21">
        <v>21.0</v>
      </c>
      <c r="X9" s="21">
        <v>22.0</v>
      </c>
      <c r="Y9" s="21">
        <v>23.0</v>
      </c>
      <c r="Z9" s="21">
        <v>24.0</v>
      </c>
      <c r="AA9" s="21">
        <v>25.0</v>
      </c>
      <c r="AB9" s="21"/>
      <c r="AC9" s="17"/>
      <c r="AD9" s="22"/>
    </row>
    <row r="10">
      <c r="A10" s="23" t="s">
        <v>12</v>
      </c>
      <c r="B10" s="19">
        <f>AC2-B12</f>
        <v>16302</v>
      </c>
      <c r="C10" s="19">
        <f t="shared" ref="C10:AA10" si="1">B10-C12</f>
        <v>16053.00471</v>
      </c>
      <c r="D10" s="21">
        <f t="shared" si="1"/>
        <v>15785.98216</v>
      </c>
      <c r="E10" s="21">
        <f t="shared" si="1"/>
        <v>15499.62717</v>
      </c>
      <c r="F10" s="21">
        <f t="shared" si="1"/>
        <v>15192.54009</v>
      </c>
      <c r="G10" s="21">
        <f t="shared" si="1"/>
        <v>14863.2199</v>
      </c>
      <c r="H10" s="21">
        <f t="shared" si="1"/>
        <v>14510.05693</v>
      </c>
      <c r="I10" s="21">
        <f t="shared" si="1"/>
        <v>14131.32496</v>
      </c>
      <c r="J10" s="21">
        <f t="shared" si="1"/>
        <v>13725.1728</v>
      </c>
      <c r="K10" s="21">
        <f t="shared" si="1"/>
        <v>13289.61522</v>
      </c>
      <c r="L10" s="21">
        <f t="shared" si="1"/>
        <v>12822.52327</v>
      </c>
      <c r="M10" s="21">
        <f t="shared" si="1"/>
        <v>12321.61386</v>
      </c>
      <c r="N10" s="21">
        <f t="shared" si="1"/>
        <v>11784.43861</v>
      </c>
      <c r="O10" s="21">
        <f t="shared" si="1"/>
        <v>11208.37188</v>
      </c>
      <c r="P10" s="21">
        <f t="shared" si="1"/>
        <v>10590.59791</v>
      </c>
      <c r="Q10" s="21">
        <f t="shared" si="1"/>
        <v>9928.097107</v>
      </c>
      <c r="R10" s="21">
        <f t="shared" si="1"/>
        <v>9217.631246</v>
      </c>
      <c r="S10" s="21">
        <f t="shared" si="1"/>
        <v>8455.727657</v>
      </c>
      <c r="T10" s="21">
        <f t="shared" si="1"/>
        <v>7638.662248</v>
      </c>
      <c r="U10" s="21">
        <f t="shared" si="1"/>
        <v>6762.441303</v>
      </c>
      <c r="V10" s="21">
        <f t="shared" si="1"/>
        <v>5822.781962</v>
      </c>
      <c r="W10" s="21">
        <f t="shared" si="1"/>
        <v>4815.091284</v>
      </c>
      <c r="X10" s="21">
        <f t="shared" si="1"/>
        <v>3734.443802</v>
      </c>
      <c r="Y10" s="21">
        <f t="shared" si="1"/>
        <v>2575.557442</v>
      </c>
      <c r="Z10" s="21">
        <f t="shared" si="1"/>
        <v>1332.767709</v>
      </c>
      <c r="AA10" s="21">
        <f t="shared" si="1"/>
        <v>0</v>
      </c>
      <c r="AB10" s="21"/>
      <c r="AC10" s="17"/>
      <c r="AD10" s="22"/>
    </row>
    <row r="11">
      <c r="A11" s="23" t="s">
        <v>13</v>
      </c>
      <c r="B11" s="21">
        <v>0.0</v>
      </c>
      <c r="C11" s="24">
        <f t="shared" ref="C11:AA11" si="2">B10*$AC$3</f>
        <v>1180.2648</v>
      </c>
      <c r="D11" s="24">
        <f t="shared" si="2"/>
        <v>1162.237541</v>
      </c>
      <c r="E11" s="24">
        <f t="shared" si="2"/>
        <v>1142.905108</v>
      </c>
      <c r="F11" s="24">
        <f t="shared" si="2"/>
        <v>1122.173007</v>
      </c>
      <c r="G11" s="24">
        <f t="shared" si="2"/>
        <v>1099.939903</v>
      </c>
      <c r="H11" s="24">
        <f t="shared" si="2"/>
        <v>1076.097121</v>
      </c>
      <c r="I11" s="24">
        <f t="shared" si="2"/>
        <v>1050.528122</v>
      </c>
      <c r="J11" s="24">
        <f t="shared" si="2"/>
        <v>1023.107927</v>
      </c>
      <c r="K11" s="24">
        <f t="shared" si="2"/>
        <v>993.7025106</v>
      </c>
      <c r="L11" s="24">
        <f t="shared" si="2"/>
        <v>962.1681417</v>
      </c>
      <c r="M11" s="24">
        <f t="shared" si="2"/>
        <v>928.3506846</v>
      </c>
      <c r="N11" s="24">
        <f t="shared" si="2"/>
        <v>892.0848435</v>
      </c>
      <c r="O11" s="24">
        <f t="shared" si="2"/>
        <v>853.1933556</v>
      </c>
      <c r="P11" s="24">
        <f t="shared" si="2"/>
        <v>811.4861239</v>
      </c>
      <c r="Q11" s="24">
        <f t="shared" si="2"/>
        <v>766.7592886</v>
      </c>
      <c r="R11" s="24">
        <f t="shared" si="2"/>
        <v>718.7942305</v>
      </c>
      <c r="S11" s="24">
        <f t="shared" si="2"/>
        <v>667.3565022</v>
      </c>
      <c r="T11" s="24">
        <f t="shared" si="2"/>
        <v>612.1946823</v>
      </c>
      <c r="U11" s="24">
        <f t="shared" si="2"/>
        <v>553.0391467</v>
      </c>
      <c r="V11" s="24">
        <f t="shared" si="2"/>
        <v>489.6007503</v>
      </c>
      <c r="W11" s="24">
        <f t="shared" si="2"/>
        <v>421.569414</v>
      </c>
      <c r="X11" s="24">
        <f t="shared" si="2"/>
        <v>348.612609</v>
      </c>
      <c r="Y11" s="24">
        <f t="shared" si="2"/>
        <v>270.3737313</v>
      </c>
      <c r="Z11" s="24">
        <f t="shared" si="2"/>
        <v>186.4703588</v>
      </c>
      <c r="AA11" s="24">
        <f t="shared" si="2"/>
        <v>96.49238215</v>
      </c>
      <c r="AB11" s="25">
        <f t="shared" ref="AB11:AB13" si="4">-SUM(B11:AA11)</f>
        <v>-19429.50229</v>
      </c>
      <c r="AC11" s="26">
        <f t="shared" ref="AC11:AC13" si="5">-(B11+NPV($AC$4, C11:AA11))</f>
        <v>-11156.65911</v>
      </c>
      <c r="AD11" s="22"/>
    </row>
    <row r="12" ht="23.25" customHeight="1">
      <c r="A12" s="23" t="s">
        <v>14</v>
      </c>
      <c r="B12" s="21">
        <v>0.0</v>
      </c>
      <c r="C12" s="24">
        <f t="shared" ref="C12:AA12" si="3">IF(B10=0, 0, C13-C11)</f>
        <v>248.9952914</v>
      </c>
      <c r="D12" s="24">
        <f t="shared" si="3"/>
        <v>267.0225505</v>
      </c>
      <c r="E12" s="24">
        <f t="shared" si="3"/>
        <v>286.3549832</v>
      </c>
      <c r="F12" s="24">
        <f t="shared" si="3"/>
        <v>307.0870839</v>
      </c>
      <c r="G12" s="24">
        <f t="shared" si="3"/>
        <v>329.3201888</v>
      </c>
      <c r="H12" s="24">
        <f t="shared" si="3"/>
        <v>353.1629705</v>
      </c>
      <c r="I12" s="24">
        <f t="shared" si="3"/>
        <v>378.7319695</v>
      </c>
      <c r="J12" s="24">
        <f t="shared" si="3"/>
        <v>406.1521641</v>
      </c>
      <c r="K12" s="24">
        <f t="shared" si="3"/>
        <v>435.5575808</v>
      </c>
      <c r="L12" s="24">
        <f t="shared" si="3"/>
        <v>467.0919497</v>
      </c>
      <c r="M12" s="24">
        <f t="shared" si="3"/>
        <v>500.9094068</v>
      </c>
      <c r="N12" s="24">
        <f t="shared" si="3"/>
        <v>537.1752479</v>
      </c>
      <c r="O12" s="24">
        <f t="shared" si="3"/>
        <v>576.0667358</v>
      </c>
      <c r="P12" s="24">
        <f t="shared" si="3"/>
        <v>617.7739675</v>
      </c>
      <c r="Q12" s="24">
        <f t="shared" si="3"/>
        <v>662.5008028</v>
      </c>
      <c r="R12" s="24">
        <f t="shared" si="3"/>
        <v>710.4658609</v>
      </c>
      <c r="S12" s="24">
        <f t="shared" si="3"/>
        <v>761.9035892</v>
      </c>
      <c r="T12" s="24">
        <f t="shared" si="3"/>
        <v>817.0654091</v>
      </c>
      <c r="U12" s="24">
        <f t="shared" si="3"/>
        <v>876.2209447</v>
      </c>
      <c r="V12" s="24">
        <f t="shared" si="3"/>
        <v>939.6593411</v>
      </c>
      <c r="W12" s="24">
        <f t="shared" si="3"/>
        <v>1007.690677</v>
      </c>
      <c r="X12" s="24">
        <f t="shared" si="3"/>
        <v>1080.647482</v>
      </c>
      <c r="Y12" s="24">
        <f t="shared" si="3"/>
        <v>1158.88636</v>
      </c>
      <c r="Z12" s="24">
        <f t="shared" si="3"/>
        <v>1242.789733</v>
      </c>
      <c r="AA12" s="24">
        <f t="shared" si="3"/>
        <v>1332.767709</v>
      </c>
      <c r="AB12" s="25">
        <f t="shared" si="4"/>
        <v>-16302</v>
      </c>
      <c r="AC12" s="26">
        <f t="shared" si="5"/>
        <v>-6439.759905</v>
      </c>
      <c r="AD12" s="22"/>
    </row>
    <row r="13">
      <c r="A13" s="23" t="s">
        <v>15</v>
      </c>
      <c r="B13" s="21">
        <f>B11+B12</f>
        <v>0</v>
      </c>
      <c r="C13" s="24">
        <f t="shared" ref="C13:AA13" si="6">ABS(PMT($AC$3,25,$B$10,0))</f>
        <v>1429.260091</v>
      </c>
      <c r="D13" s="24">
        <f t="shared" si="6"/>
        <v>1429.260091</v>
      </c>
      <c r="E13" s="24">
        <f t="shared" si="6"/>
        <v>1429.260091</v>
      </c>
      <c r="F13" s="24">
        <f t="shared" si="6"/>
        <v>1429.260091</v>
      </c>
      <c r="G13" s="24">
        <f t="shared" si="6"/>
        <v>1429.260091</v>
      </c>
      <c r="H13" s="24">
        <f t="shared" si="6"/>
        <v>1429.260091</v>
      </c>
      <c r="I13" s="24">
        <f t="shared" si="6"/>
        <v>1429.260091</v>
      </c>
      <c r="J13" s="24">
        <f t="shared" si="6"/>
        <v>1429.260091</v>
      </c>
      <c r="K13" s="24">
        <f t="shared" si="6"/>
        <v>1429.260091</v>
      </c>
      <c r="L13" s="24">
        <f t="shared" si="6"/>
        <v>1429.260091</v>
      </c>
      <c r="M13" s="24">
        <f t="shared" si="6"/>
        <v>1429.260091</v>
      </c>
      <c r="N13" s="24">
        <f t="shared" si="6"/>
        <v>1429.260091</v>
      </c>
      <c r="O13" s="24">
        <f t="shared" si="6"/>
        <v>1429.260091</v>
      </c>
      <c r="P13" s="24">
        <f t="shared" si="6"/>
        <v>1429.260091</v>
      </c>
      <c r="Q13" s="24">
        <f t="shared" si="6"/>
        <v>1429.260091</v>
      </c>
      <c r="R13" s="24">
        <f t="shared" si="6"/>
        <v>1429.260091</v>
      </c>
      <c r="S13" s="24">
        <f t="shared" si="6"/>
        <v>1429.260091</v>
      </c>
      <c r="T13" s="24">
        <f t="shared" si="6"/>
        <v>1429.260091</v>
      </c>
      <c r="U13" s="24">
        <f t="shared" si="6"/>
        <v>1429.260091</v>
      </c>
      <c r="V13" s="24">
        <f t="shared" si="6"/>
        <v>1429.260091</v>
      </c>
      <c r="W13" s="24">
        <f t="shared" si="6"/>
        <v>1429.260091</v>
      </c>
      <c r="X13" s="24">
        <f t="shared" si="6"/>
        <v>1429.260091</v>
      </c>
      <c r="Y13" s="24">
        <f t="shared" si="6"/>
        <v>1429.260091</v>
      </c>
      <c r="Z13" s="24">
        <f t="shared" si="6"/>
        <v>1429.260091</v>
      </c>
      <c r="AA13" s="24">
        <f t="shared" si="6"/>
        <v>1429.260091</v>
      </c>
      <c r="AB13" s="25">
        <f t="shared" si="4"/>
        <v>-35731.50229</v>
      </c>
      <c r="AC13" s="26">
        <f t="shared" si="5"/>
        <v>-17596.41901</v>
      </c>
      <c r="AD13" s="22"/>
    </row>
    <row r="14">
      <c r="A14" s="27" t="s">
        <v>16</v>
      </c>
      <c r="B14" s="21">
        <v>0.0</v>
      </c>
      <c r="C14" s="24">
        <v>503.0</v>
      </c>
      <c r="D14" s="24">
        <v>515.0</v>
      </c>
      <c r="E14" s="24">
        <v>527.0</v>
      </c>
      <c r="F14" s="24">
        <v>539.0</v>
      </c>
      <c r="G14" s="24">
        <v>552.0</v>
      </c>
      <c r="H14" s="24">
        <v>565.0</v>
      </c>
      <c r="I14" s="24">
        <v>578.0</v>
      </c>
      <c r="J14" s="24">
        <v>591.0</v>
      </c>
      <c r="K14" s="24">
        <v>605.0</v>
      </c>
      <c r="L14" s="24">
        <v>619.0</v>
      </c>
      <c r="M14" s="24">
        <v>633.0</v>
      </c>
      <c r="N14" s="24">
        <v>648.0</v>
      </c>
      <c r="O14" s="24">
        <v>663.0</v>
      </c>
      <c r="P14" s="24">
        <v>679.0</v>
      </c>
      <c r="Q14" s="24">
        <v>694.0</v>
      </c>
      <c r="R14" s="24">
        <v>711.0</v>
      </c>
      <c r="S14" s="24">
        <v>727.0</v>
      </c>
      <c r="T14" s="24">
        <v>744.0</v>
      </c>
      <c r="U14" s="24">
        <v>761.0</v>
      </c>
      <c r="V14" s="24">
        <v>779.0</v>
      </c>
      <c r="W14" s="24">
        <v>797.0</v>
      </c>
      <c r="X14" s="24">
        <v>815.0</v>
      </c>
      <c r="Y14" s="24">
        <v>834.0</v>
      </c>
      <c r="Z14" s="24">
        <v>854.0</v>
      </c>
      <c r="AA14" s="24">
        <v>873.0</v>
      </c>
      <c r="AB14" s="24">
        <f t="shared" ref="AB14:AB16" si="7">SUM(B14:AA14)</f>
        <v>16806</v>
      </c>
      <c r="AC14" s="28">
        <f t="shared" ref="AC14:AC16" si="8">B14+NPV($AC$4, C14:AA14)</f>
        <v>7697.996871</v>
      </c>
      <c r="AD14" s="22"/>
    </row>
    <row r="15">
      <c r="A15" s="29" t="s">
        <v>17</v>
      </c>
      <c r="B15" s="21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f t="shared" si="7"/>
        <v>0</v>
      </c>
      <c r="AC15" s="28">
        <f t="shared" si="8"/>
        <v>0</v>
      </c>
      <c r="AD15" s="16"/>
    </row>
    <row r="16">
      <c r="A16" s="30" t="s">
        <v>18</v>
      </c>
      <c r="B16" s="31">
        <f t="shared" ref="B16:AA16" si="9">B14+B15</f>
        <v>0</v>
      </c>
      <c r="C16" s="28">
        <f t="shared" si="9"/>
        <v>503</v>
      </c>
      <c r="D16" s="28">
        <f t="shared" si="9"/>
        <v>515</v>
      </c>
      <c r="E16" s="28">
        <f t="shared" si="9"/>
        <v>527</v>
      </c>
      <c r="F16" s="28">
        <f t="shared" si="9"/>
        <v>539</v>
      </c>
      <c r="G16" s="28">
        <f t="shared" si="9"/>
        <v>552</v>
      </c>
      <c r="H16" s="28">
        <f t="shared" si="9"/>
        <v>565</v>
      </c>
      <c r="I16" s="28">
        <f t="shared" si="9"/>
        <v>578</v>
      </c>
      <c r="J16" s="28">
        <f t="shared" si="9"/>
        <v>591</v>
      </c>
      <c r="K16" s="28">
        <f t="shared" si="9"/>
        <v>605</v>
      </c>
      <c r="L16" s="28">
        <f t="shared" si="9"/>
        <v>619</v>
      </c>
      <c r="M16" s="28">
        <f t="shared" si="9"/>
        <v>633</v>
      </c>
      <c r="N16" s="28">
        <f t="shared" si="9"/>
        <v>648</v>
      </c>
      <c r="O16" s="28">
        <f t="shared" si="9"/>
        <v>663</v>
      </c>
      <c r="P16" s="28">
        <f t="shared" si="9"/>
        <v>679</v>
      </c>
      <c r="Q16" s="28">
        <f t="shared" si="9"/>
        <v>694</v>
      </c>
      <c r="R16" s="28">
        <f t="shared" si="9"/>
        <v>711</v>
      </c>
      <c r="S16" s="28">
        <f t="shared" si="9"/>
        <v>727</v>
      </c>
      <c r="T16" s="28">
        <f t="shared" si="9"/>
        <v>744</v>
      </c>
      <c r="U16" s="28">
        <f t="shared" si="9"/>
        <v>761</v>
      </c>
      <c r="V16" s="28">
        <f t="shared" si="9"/>
        <v>779</v>
      </c>
      <c r="W16" s="28">
        <f t="shared" si="9"/>
        <v>797</v>
      </c>
      <c r="X16" s="28">
        <f t="shared" si="9"/>
        <v>815</v>
      </c>
      <c r="Y16" s="28">
        <f t="shared" si="9"/>
        <v>834</v>
      </c>
      <c r="Z16" s="28">
        <f t="shared" si="9"/>
        <v>854</v>
      </c>
      <c r="AA16" s="28">
        <f t="shared" si="9"/>
        <v>873</v>
      </c>
      <c r="AB16" s="24">
        <f t="shared" si="7"/>
        <v>16806</v>
      </c>
      <c r="AC16" s="28">
        <f t="shared" si="8"/>
        <v>7697.996871</v>
      </c>
      <c r="AD16" s="32"/>
    </row>
    <row r="17">
      <c r="A17" s="18" t="s">
        <v>19</v>
      </c>
      <c r="B17" s="17"/>
      <c r="C17" s="33">
        <f t="shared" ref="C17:AA17" si="10">C16-C13</f>
        <v>-926.2600914</v>
      </c>
      <c r="D17" s="34">
        <f t="shared" si="10"/>
        <v>-914.2600914</v>
      </c>
      <c r="E17" s="34">
        <f t="shared" si="10"/>
        <v>-902.2600914</v>
      </c>
      <c r="F17" s="34">
        <f t="shared" si="10"/>
        <v>-890.2600914</v>
      </c>
      <c r="G17" s="34">
        <f t="shared" si="10"/>
        <v>-877.2600914</v>
      </c>
      <c r="H17" s="34">
        <f t="shared" si="10"/>
        <v>-864.2600914</v>
      </c>
      <c r="I17" s="34">
        <f t="shared" si="10"/>
        <v>-851.2600914</v>
      </c>
      <c r="J17" s="34">
        <f t="shared" si="10"/>
        <v>-838.2600914</v>
      </c>
      <c r="K17" s="34">
        <f t="shared" si="10"/>
        <v>-824.2600914</v>
      </c>
      <c r="L17" s="34">
        <f t="shared" si="10"/>
        <v>-810.2600914</v>
      </c>
      <c r="M17" s="34">
        <f t="shared" si="10"/>
        <v>-796.2600914</v>
      </c>
      <c r="N17" s="34">
        <f t="shared" si="10"/>
        <v>-781.2600914</v>
      </c>
      <c r="O17" s="34">
        <f t="shared" si="10"/>
        <v>-766.2600914</v>
      </c>
      <c r="P17" s="34">
        <f t="shared" si="10"/>
        <v>-750.2600914</v>
      </c>
      <c r="Q17" s="34">
        <f t="shared" si="10"/>
        <v>-735.2600914</v>
      </c>
      <c r="R17" s="34">
        <f t="shared" si="10"/>
        <v>-718.2600914</v>
      </c>
      <c r="S17" s="34">
        <f t="shared" si="10"/>
        <v>-702.2600914</v>
      </c>
      <c r="T17" s="34">
        <f t="shared" si="10"/>
        <v>-685.2600914</v>
      </c>
      <c r="U17" s="34">
        <f t="shared" si="10"/>
        <v>-668.2600914</v>
      </c>
      <c r="V17" s="34">
        <f t="shared" si="10"/>
        <v>-650.2600914</v>
      </c>
      <c r="W17" s="34">
        <f t="shared" si="10"/>
        <v>-632.2600914</v>
      </c>
      <c r="X17" s="34">
        <f t="shared" si="10"/>
        <v>-614.2600914</v>
      </c>
      <c r="Y17" s="34">
        <f t="shared" si="10"/>
        <v>-595.2600914</v>
      </c>
      <c r="Z17" s="34">
        <f t="shared" si="10"/>
        <v>-575.2600914</v>
      </c>
      <c r="AA17" s="34">
        <f t="shared" si="10"/>
        <v>-556.2600914</v>
      </c>
      <c r="AB17" s="26">
        <f t="shared" ref="AB17:AC17" si="11">AB16+AB13</f>
        <v>-18925.50229</v>
      </c>
      <c r="AC17" s="35">
        <f t="shared" si="11"/>
        <v>-9898.422141</v>
      </c>
      <c r="AD17" s="20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36" t="s">
        <v>20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8"/>
      <c r="AC20" s="38"/>
      <c r="AD20" s="4"/>
    </row>
    <row r="21">
      <c r="A21" s="39" t="s">
        <v>1</v>
      </c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0"/>
      <c r="AC21" s="42">
        <v>16302.0</v>
      </c>
      <c r="AD21" s="20"/>
    </row>
    <row r="22">
      <c r="A22" s="39" t="s">
        <v>2</v>
      </c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0"/>
      <c r="AC22" s="43">
        <v>0.0724</v>
      </c>
      <c r="AD22" s="20"/>
    </row>
    <row r="23">
      <c r="A23" s="39" t="s">
        <v>3</v>
      </c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0"/>
      <c r="AC23" s="43">
        <v>0.064</v>
      </c>
      <c r="AD23" s="20"/>
    </row>
    <row r="24">
      <c r="A24" s="44" t="s">
        <v>4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5">
        <f>AC21*0.3</f>
        <v>4890.6</v>
      </c>
      <c r="AD24" s="20"/>
    </row>
    <row r="25">
      <c r="A25" s="44" t="s">
        <v>5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6">
        <v>0.0</v>
      </c>
      <c r="AD25" s="20"/>
    </row>
    <row r="26">
      <c r="A26" s="44" t="s">
        <v>6</v>
      </c>
      <c r="B26" s="47"/>
      <c r="C26" s="47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5">
        <v>0.0</v>
      </c>
      <c r="AD26" s="20"/>
    </row>
    <row r="27">
      <c r="A27" s="48"/>
      <c r="B27" s="49" t="s">
        <v>7</v>
      </c>
      <c r="C27" s="49" t="s">
        <v>8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 t="s">
        <v>9</v>
      </c>
      <c r="AC27" s="50" t="s">
        <v>10</v>
      </c>
      <c r="AD27" s="20"/>
    </row>
    <row r="28" hidden="1">
      <c r="A28" s="50" t="s">
        <v>11</v>
      </c>
      <c r="B28" s="51">
        <v>0.0</v>
      </c>
      <c r="C28" s="51">
        <v>1.0</v>
      </c>
      <c r="D28" s="51">
        <v>2.0</v>
      </c>
      <c r="E28" s="51">
        <v>3.0</v>
      </c>
      <c r="F28" s="51">
        <v>4.0</v>
      </c>
      <c r="G28" s="51">
        <v>5.0</v>
      </c>
      <c r="H28" s="51">
        <v>6.0</v>
      </c>
      <c r="I28" s="51">
        <v>7.0</v>
      </c>
      <c r="J28" s="51">
        <v>8.0</v>
      </c>
      <c r="K28" s="51">
        <v>9.0</v>
      </c>
      <c r="L28" s="51">
        <v>10.0</v>
      </c>
      <c r="M28" s="51">
        <v>11.0</v>
      </c>
      <c r="N28" s="51">
        <v>12.0</v>
      </c>
      <c r="O28" s="51">
        <v>13.0</v>
      </c>
      <c r="P28" s="51">
        <v>14.0</v>
      </c>
      <c r="Q28" s="51">
        <v>15.0</v>
      </c>
      <c r="R28" s="51">
        <v>16.0</v>
      </c>
      <c r="S28" s="51">
        <v>17.0</v>
      </c>
      <c r="T28" s="51">
        <v>18.0</v>
      </c>
      <c r="U28" s="51">
        <v>19.0</v>
      </c>
      <c r="V28" s="51">
        <v>20.0</v>
      </c>
      <c r="W28" s="51">
        <v>21.0</v>
      </c>
      <c r="X28" s="51">
        <v>22.0</v>
      </c>
      <c r="Y28" s="51">
        <v>23.0</v>
      </c>
      <c r="Z28" s="51">
        <v>24.0</v>
      </c>
      <c r="AA28" s="51">
        <v>25.0</v>
      </c>
      <c r="AB28" s="51"/>
      <c r="AC28" s="48"/>
      <c r="AD28" s="22"/>
    </row>
    <row r="29">
      <c r="A29" s="52" t="s">
        <v>12</v>
      </c>
      <c r="B29" s="50">
        <f>AC21-B35</f>
        <v>11411.4</v>
      </c>
      <c r="C29" s="50">
        <f t="shared" ref="C29:AA29" si="12">B29-C31</f>
        <v>11237.1033</v>
      </c>
      <c r="D29" s="51">
        <f t="shared" si="12"/>
        <v>11050.18751</v>
      </c>
      <c r="E29" s="51">
        <f t="shared" si="12"/>
        <v>10849.73902</v>
      </c>
      <c r="F29" s="51">
        <f t="shared" si="12"/>
        <v>10634.77806</v>
      </c>
      <c r="G29" s="51">
        <f t="shared" si="12"/>
        <v>10404.25393</v>
      </c>
      <c r="H29" s="51">
        <f t="shared" si="12"/>
        <v>10157.03985</v>
      </c>
      <c r="I29" s="51">
        <f t="shared" si="12"/>
        <v>9891.927474</v>
      </c>
      <c r="J29" s="51">
        <f t="shared" si="12"/>
        <v>9607.620959</v>
      </c>
      <c r="K29" s="51">
        <f t="shared" si="12"/>
        <v>9302.730652</v>
      </c>
      <c r="L29" s="51">
        <f t="shared" si="12"/>
        <v>8975.766287</v>
      </c>
      <c r="M29" s="51">
        <f t="shared" si="12"/>
        <v>8625.129702</v>
      </c>
      <c r="N29" s="51">
        <f t="shared" si="12"/>
        <v>8249.107029</v>
      </c>
      <c r="O29" s="51">
        <f t="shared" si="12"/>
        <v>7845.860314</v>
      </c>
      <c r="P29" s="51">
        <f t="shared" si="12"/>
        <v>7413.418537</v>
      </c>
      <c r="Q29" s="51">
        <f t="shared" si="12"/>
        <v>6949.667975</v>
      </c>
      <c r="R29" s="51">
        <f t="shared" si="12"/>
        <v>6452.341872</v>
      </c>
      <c r="S29" s="51">
        <f t="shared" si="12"/>
        <v>5919.00936</v>
      </c>
      <c r="T29" s="51">
        <f t="shared" si="12"/>
        <v>5347.063573</v>
      </c>
      <c r="U29" s="51">
        <f t="shared" si="12"/>
        <v>4733.708912</v>
      </c>
      <c r="V29" s="51">
        <f t="shared" si="12"/>
        <v>4075.947373</v>
      </c>
      <c r="W29" s="51">
        <f t="shared" si="12"/>
        <v>3370.563899</v>
      </c>
      <c r="X29" s="51">
        <f t="shared" si="12"/>
        <v>2614.110661</v>
      </c>
      <c r="Y29" s="51">
        <f t="shared" si="12"/>
        <v>1802.890209</v>
      </c>
      <c r="Z29" s="51">
        <f t="shared" si="12"/>
        <v>932.9373965</v>
      </c>
      <c r="AA29" s="51">
        <f t="shared" si="12"/>
        <v>0</v>
      </c>
      <c r="AB29" s="51"/>
      <c r="AC29" s="48"/>
      <c r="AD29" s="22"/>
    </row>
    <row r="30">
      <c r="A30" s="53" t="s">
        <v>13</v>
      </c>
      <c r="B30" s="54">
        <v>0.0</v>
      </c>
      <c r="C30" s="54">
        <f t="shared" ref="C30:AA30" si="13">B29*$AC$22</f>
        <v>826.18536</v>
      </c>
      <c r="D30" s="51">
        <f t="shared" si="13"/>
        <v>813.5662786</v>
      </c>
      <c r="E30" s="51">
        <f t="shared" si="13"/>
        <v>800.0335758</v>
      </c>
      <c r="F30" s="51">
        <f t="shared" si="13"/>
        <v>785.5211052</v>
      </c>
      <c r="G30" s="51">
        <f t="shared" si="13"/>
        <v>769.9579318</v>
      </c>
      <c r="H30" s="51">
        <f t="shared" si="13"/>
        <v>753.2679846</v>
      </c>
      <c r="I30" s="51">
        <f t="shared" si="13"/>
        <v>735.3696853</v>
      </c>
      <c r="J30" s="51">
        <f t="shared" si="13"/>
        <v>716.1755491</v>
      </c>
      <c r="K30" s="51">
        <f t="shared" si="13"/>
        <v>695.5917574</v>
      </c>
      <c r="L30" s="51">
        <f t="shared" si="13"/>
        <v>673.5176992</v>
      </c>
      <c r="M30" s="51">
        <f t="shared" si="13"/>
        <v>649.8454792</v>
      </c>
      <c r="N30" s="51">
        <f t="shared" si="13"/>
        <v>624.4593905</v>
      </c>
      <c r="O30" s="51">
        <f t="shared" si="13"/>
        <v>597.2353489</v>
      </c>
      <c r="P30" s="51">
        <f t="shared" si="13"/>
        <v>568.0402867</v>
      </c>
      <c r="Q30" s="51">
        <f t="shared" si="13"/>
        <v>536.7315021</v>
      </c>
      <c r="R30" s="51">
        <f t="shared" si="13"/>
        <v>503.1559614</v>
      </c>
      <c r="S30" s="51">
        <f t="shared" si="13"/>
        <v>467.1495515</v>
      </c>
      <c r="T30" s="51">
        <f t="shared" si="13"/>
        <v>428.5362776</v>
      </c>
      <c r="U30" s="51">
        <f t="shared" si="13"/>
        <v>387.1274027</v>
      </c>
      <c r="V30" s="51">
        <f t="shared" si="13"/>
        <v>342.7205252</v>
      </c>
      <c r="W30" s="51">
        <f t="shared" si="13"/>
        <v>295.0985898</v>
      </c>
      <c r="X30" s="51">
        <f t="shared" si="13"/>
        <v>244.0288263</v>
      </c>
      <c r="Y30" s="51">
        <f t="shared" si="13"/>
        <v>189.2616119</v>
      </c>
      <c r="Z30" s="51">
        <f t="shared" si="13"/>
        <v>130.5292512</v>
      </c>
      <c r="AA30" s="51">
        <f t="shared" si="13"/>
        <v>67.5446675</v>
      </c>
      <c r="AB30" s="55">
        <f t="shared" ref="AB30:AB32" si="15">-SUM(B30:AA30)</f>
        <v>-13600.6516</v>
      </c>
      <c r="AC30" s="56">
        <f t="shared" ref="AC30:AC32" si="16">-(B30+NPV($AC$4, C30:AA30))</f>
        <v>-7809.661376</v>
      </c>
      <c r="AD30" s="22"/>
    </row>
    <row r="31">
      <c r="A31" s="53" t="s">
        <v>14</v>
      </c>
      <c r="B31" s="54">
        <v>0.0</v>
      </c>
      <c r="C31" s="54">
        <f t="shared" ref="C31:AA31" si="14">IF(B29=0, 0, C32-C30)</f>
        <v>174.296704</v>
      </c>
      <c r="D31" s="51">
        <f t="shared" si="14"/>
        <v>186.9157853</v>
      </c>
      <c r="E31" s="51">
        <f t="shared" si="14"/>
        <v>200.4484882</v>
      </c>
      <c r="F31" s="51">
        <f t="shared" si="14"/>
        <v>214.9609588</v>
      </c>
      <c r="G31" s="51">
        <f t="shared" si="14"/>
        <v>230.5241322</v>
      </c>
      <c r="H31" s="51">
        <f t="shared" si="14"/>
        <v>247.2140793</v>
      </c>
      <c r="I31" s="51">
        <f t="shared" si="14"/>
        <v>265.1123787</v>
      </c>
      <c r="J31" s="51">
        <f t="shared" si="14"/>
        <v>284.3065149</v>
      </c>
      <c r="K31" s="51">
        <f t="shared" si="14"/>
        <v>304.8903066</v>
      </c>
      <c r="L31" s="51">
        <f t="shared" si="14"/>
        <v>326.9643648</v>
      </c>
      <c r="M31" s="51">
        <f t="shared" si="14"/>
        <v>350.6365848</v>
      </c>
      <c r="N31" s="51">
        <f t="shared" si="14"/>
        <v>376.0226735</v>
      </c>
      <c r="O31" s="51">
        <f t="shared" si="14"/>
        <v>403.2467151</v>
      </c>
      <c r="P31" s="51">
        <f t="shared" si="14"/>
        <v>432.4417773</v>
      </c>
      <c r="Q31" s="51">
        <f t="shared" si="14"/>
        <v>463.7505619</v>
      </c>
      <c r="R31" s="51">
        <f t="shared" si="14"/>
        <v>497.3261026</v>
      </c>
      <c r="S31" s="51">
        <f t="shared" si="14"/>
        <v>533.3325124</v>
      </c>
      <c r="T31" s="51">
        <f t="shared" si="14"/>
        <v>571.9457863</v>
      </c>
      <c r="U31" s="51">
        <f t="shared" si="14"/>
        <v>613.3546613</v>
      </c>
      <c r="V31" s="51">
        <f t="shared" si="14"/>
        <v>657.7615388</v>
      </c>
      <c r="W31" s="51">
        <f t="shared" si="14"/>
        <v>705.3834742</v>
      </c>
      <c r="X31" s="51">
        <f t="shared" si="14"/>
        <v>756.4532377</v>
      </c>
      <c r="Y31" s="51">
        <f t="shared" si="14"/>
        <v>811.2204521</v>
      </c>
      <c r="Z31" s="51">
        <f t="shared" si="14"/>
        <v>869.9528128</v>
      </c>
      <c r="AA31" s="51">
        <f t="shared" si="14"/>
        <v>932.9373965</v>
      </c>
      <c r="AB31" s="55">
        <f t="shared" si="15"/>
        <v>-11411.4</v>
      </c>
      <c r="AC31" s="56">
        <f t="shared" si="16"/>
        <v>-4507.831933</v>
      </c>
      <c r="AD31" s="22"/>
    </row>
    <row r="32">
      <c r="A32" s="52" t="s">
        <v>15</v>
      </c>
      <c r="B32" s="54">
        <f>B30+B31</f>
        <v>0</v>
      </c>
      <c r="C32" s="54">
        <f t="shared" ref="C32:AA32" si="17">ABS(PMT($AC$22,25,$B$29,0))</f>
        <v>1000.482064</v>
      </c>
      <c r="D32" s="51">
        <f t="shared" si="17"/>
        <v>1000.482064</v>
      </c>
      <c r="E32" s="51">
        <f t="shared" si="17"/>
        <v>1000.482064</v>
      </c>
      <c r="F32" s="51">
        <f t="shared" si="17"/>
        <v>1000.482064</v>
      </c>
      <c r="G32" s="51">
        <f t="shared" si="17"/>
        <v>1000.482064</v>
      </c>
      <c r="H32" s="51">
        <f t="shared" si="17"/>
        <v>1000.482064</v>
      </c>
      <c r="I32" s="51">
        <f t="shared" si="17"/>
        <v>1000.482064</v>
      </c>
      <c r="J32" s="51">
        <f t="shared" si="17"/>
        <v>1000.482064</v>
      </c>
      <c r="K32" s="51">
        <f t="shared" si="17"/>
        <v>1000.482064</v>
      </c>
      <c r="L32" s="51">
        <f t="shared" si="17"/>
        <v>1000.482064</v>
      </c>
      <c r="M32" s="51">
        <f t="shared" si="17"/>
        <v>1000.482064</v>
      </c>
      <c r="N32" s="51">
        <f t="shared" si="17"/>
        <v>1000.482064</v>
      </c>
      <c r="O32" s="51">
        <f t="shared" si="17"/>
        <v>1000.482064</v>
      </c>
      <c r="P32" s="51">
        <f t="shared" si="17"/>
        <v>1000.482064</v>
      </c>
      <c r="Q32" s="51">
        <f t="shared" si="17"/>
        <v>1000.482064</v>
      </c>
      <c r="R32" s="51">
        <f t="shared" si="17"/>
        <v>1000.482064</v>
      </c>
      <c r="S32" s="51">
        <f t="shared" si="17"/>
        <v>1000.482064</v>
      </c>
      <c r="T32" s="51">
        <f t="shared" si="17"/>
        <v>1000.482064</v>
      </c>
      <c r="U32" s="51">
        <f t="shared" si="17"/>
        <v>1000.482064</v>
      </c>
      <c r="V32" s="51">
        <f t="shared" si="17"/>
        <v>1000.482064</v>
      </c>
      <c r="W32" s="51">
        <f t="shared" si="17"/>
        <v>1000.482064</v>
      </c>
      <c r="X32" s="51">
        <f t="shared" si="17"/>
        <v>1000.482064</v>
      </c>
      <c r="Y32" s="51">
        <f t="shared" si="17"/>
        <v>1000.482064</v>
      </c>
      <c r="Z32" s="51">
        <f t="shared" si="17"/>
        <v>1000.482064</v>
      </c>
      <c r="AA32" s="51">
        <f t="shared" si="17"/>
        <v>1000.482064</v>
      </c>
      <c r="AB32" s="55">
        <f t="shared" si="15"/>
        <v>-25012.0516</v>
      </c>
      <c r="AC32" s="56">
        <f t="shared" si="16"/>
        <v>-12317.49331</v>
      </c>
      <c r="AD32" s="22"/>
    </row>
    <row r="33">
      <c r="A33" s="57" t="s">
        <v>16</v>
      </c>
      <c r="B33" s="51">
        <v>0.0</v>
      </c>
      <c r="C33" s="54">
        <v>503.0</v>
      </c>
      <c r="D33" s="54">
        <v>515.0</v>
      </c>
      <c r="E33" s="54">
        <v>527.0</v>
      </c>
      <c r="F33" s="54">
        <v>539.0</v>
      </c>
      <c r="G33" s="54">
        <v>552.0</v>
      </c>
      <c r="H33" s="54">
        <v>565.0</v>
      </c>
      <c r="I33" s="54">
        <v>578.0</v>
      </c>
      <c r="J33" s="54">
        <v>591.0</v>
      </c>
      <c r="K33" s="54">
        <v>605.0</v>
      </c>
      <c r="L33" s="54">
        <v>619.0</v>
      </c>
      <c r="M33" s="54">
        <v>633.0</v>
      </c>
      <c r="N33" s="54">
        <v>648.0</v>
      </c>
      <c r="O33" s="54">
        <v>663.0</v>
      </c>
      <c r="P33" s="54">
        <v>679.0</v>
      </c>
      <c r="Q33" s="54">
        <v>694.0</v>
      </c>
      <c r="R33" s="54">
        <v>711.0</v>
      </c>
      <c r="S33" s="54">
        <v>727.0</v>
      </c>
      <c r="T33" s="54">
        <v>744.0</v>
      </c>
      <c r="U33" s="54">
        <v>761.0</v>
      </c>
      <c r="V33" s="54">
        <v>779.0</v>
      </c>
      <c r="W33" s="54">
        <v>797.0</v>
      </c>
      <c r="X33" s="54">
        <v>815.0</v>
      </c>
      <c r="Y33" s="54">
        <v>834.0</v>
      </c>
      <c r="Z33" s="54">
        <v>854.0</v>
      </c>
      <c r="AA33" s="54">
        <v>873.0</v>
      </c>
      <c r="AB33" s="54">
        <f t="shared" ref="AB33:AB35" si="19">SUM(B33:AA33)</f>
        <v>16806</v>
      </c>
      <c r="AC33" s="57">
        <f t="shared" ref="AC33:AC35" si="20">B33+NPV($AC$4, C33:AA33)</f>
        <v>7697.996871</v>
      </c>
      <c r="AD33" s="22"/>
    </row>
    <row r="34">
      <c r="A34" s="58" t="s">
        <v>17</v>
      </c>
      <c r="B34" s="54">
        <f>AC24+AC25</f>
        <v>4890.6</v>
      </c>
      <c r="C34" s="54">
        <f t="shared" ref="C34:AA34" si="18">$AC$7</f>
        <v>0</v>
      </c>
      <c r="D34" s="59">
        <f t="shared" si="18"/>
        <v>0</v>
      </c>
      <c r="E34" s="59">
        <f t="shared" si="18"/>
        <v>0</v>
      </c>
      <c r="F34" s="59">
        <f t="shared" si="18"/>
        <v>0</v>
      </c>
      <c r="G34" s="59">
        <f t="shared" si="18"/>
        <v>0</v>
      </c>
      <c r="H34" s="59">
        <f t="shared" si="18"/>
        <v>0</v>
      </c>
      <c r="I34" s="59">
        <f t="shared" si="18"/>
        <v>0</v>
      </c>
      <c r="J34" s="59">
        <f t="shared" si="18"/>
        <v>0</v>
      </c>
      <c r="K34" s="59">
        <f t="shared" si="18"/>
        <v>0</v>
      </c>
      <c r="L34" s="59">
        <f t="shared" si="18"/>
        <v>0</v>
      </c>
      <c r="M34" s="59">
        <f t="shared" si="18"/>
        <v>0</v>
      </c>
      <c r="N34" s="59">
        <f t="shared" si="18"/>
        <v>0</v>
      </c>
      <c r="O34" s="59">
        <f t="shared" si="18"/>
        <v>0</v>
      </c>
      <c r="P34" s="59">
        <f t="shared" si="18"/>
        <v>0</v>
      </c>
      <c r="Q34" s="59">
        <f t="shared" si="18"/>
        <v>0</v>
      </c>
      <c r="R34" s="59">
        <f t="shared" si="18"/>
        <v>0</v>
      </c>
      <c r="S34" s="59">
        <f t="shared" si="18"/>
        <v>0</v>
      </c>
      <c r="T34" s="59">
        <f t="shared" si="18"/>
        <v>0</v>
      </c>
      <c r="U34" s="59">
        <f t="shared" si="18"/>
        <v>0</v>
      </c>
      <c r="V34" s="59">
        <f t="shared" si="18"/>
        <v>0</v>
      </c>
      <c r="W34" s="59">
        <f t="shared" si="18"/>
        <v>0</v>
      </c>
      <c r="X34" s="59">
        <f t="shared" si="18"/>
        <v>0</v>
      </c>
      <c r="Y34" s="59">
        <f t="shared" si="18"/>
        <v>0</v>
      </c>
      <c r="Z34" s="59">
        <f t="shared" si="18"/>
        <v>0</v>
      </c>
      <c r="AA34" s="59">
        <f t="shared" si="18"/>
        <v>0</v>
      </c>
      <c r="AB34" s="54">
        <f t="shared" si="19"/>
        <v>4890.6</v>
      </c>
      <c r="AC34" s="57">
        <f t="shared" si="20"/>
        <v>4890.6</v>
      </c>
      <c r="AD34" s="16"/>
    </row>
    <row r="35">
      <c r="A35" s="60" t="s">
        <v>21</v>
      </c>
      <c r="B35" s="57">
        <f t="shared" ref="B35:AA35" si="21">B33+B34</f>
        <v>4890.6</v>
      </c>
      <c r="C35" s="57">
        <f t="shared" si="21"/>
        <v>503</v>
      </c>
      <c r="D35" s="61">
        <f t="shared" si="21"/>
        <v>515</v>
      </c>
      <c r="E35" s="61">
        <f t="shared" si="21"/>
        <v>527</v>
      </c>
      <c r="F35" s="61">
        <f t="shared" si="21"/>
        <v>539</v>
      </c>
      <c r="G35" s="61">
        <f t="shared" si="21"/>
        <v>552</v>
      </c>
      <c r="H35" s="61">
        <f t="shared" si="21"/>
        <v>565</v>
      </c>
      <c r="I35" s="61">
        <f t="shared" si="21"/>
        <v>578</v>
      </c>
      <c r="J35" s="61">
        <f t="shared" si="21"/>
        <v>591</v>
      </c>
      <c r="K35" s="61">
        <f t="shared" si="21"/>
        <v>605</v>
      </c>
      <c r="L35" s="61">
        <f t="shared" si="21"/>
        <v>619</v>
      </c>
      <c r="M35" s="61">
        <f t="shared" si="21"/>
        <v>633</v>
      </c>
      <c r="N35" s="61">
        <f t="shared" si="21"/>
        <v>648</v>
      </c>
      <c r="O35" s="61">
        <f t="shared" si="21"/>
        <v>663</v>
      </c>
      <c r="P35" s="61">
        <f t="shared" si="21"/>
        <v>679</v>
      </c>
      <c r="Q35" s="61">
        <f t="shared" si="21"/>
        <v>694</v>
      </c>
      <c r="R35" s="61">
        <f t="shared" si="21"/>
        <v>711</v>
      </c>
      <c r="S35" s="61">
        <f t="shared" si="21"/>
        <v>727</v>
      </c>
      <c r="T35" s="61">
        <f t="shared" si="21"/>
        <v>744</v>
      </c>
      <c r="U35" s="61">
        <f t="shared" si="21"/>
        <v>761</v>
      </c>
      <c r="V35" s="61">
        <f t="shared" si="21"/>
        <v>779</v>
      </c>
      <c r="W35" s="61">
        <f t="shared" si="21"/>
        <v>797</v>
      </c>
      <c r="X35" s="61">
        <f t="shared" si="21"/>
        <v>815</v>
      </c>
      <c r="Y35" s="61">
        <f t="shared" si="21"/>
        <v>834</v>
      </c>
      <c r="Z35" s="61">
        <f t="shared" si="21"/>
        <v>854</v>
      </c>
      <c r="AA35" s="61">
        <f t="shared" si="21"/>
        <v>873</v>
      </c>
      <c r="AB35" s="54">
        <f t="shared" si="19"/>
        <v>21696.6</v>
      </c>
      <c r="AC35" s="57">
        <f t="shared" si="20"/>
        <v>12588.59687</v>
      </c>
      <c r="AD35" s="32"/>
    </row>
    <row r="36">
      <c r="A36" s="49" t="s">
        <v>19</v>
      </c>
      <c r="B36" s="62"/>
      <c r="C36" s="63">
        <f t="shared" ref="C36:AB36" si="22">C35-C32</f>
        <v>-497.482064</v>
      </c>
      <c r="D36" s="64">
        <f t="shared" si="22"/>
        <v>-485.482064</v>
      </c>
      <c r="E36" s="64">
        <f t="shared" si="22"/>
        <v>-473.482064</v>
      </c>
      <c r="F36" s="65">
        <f t="shared" si="22"/>
        <v>-461.482064</v>
      </c>
      <c r="G36" s="64">
        <f t="shared" si="22"/>
        <v>-448.482064</v>
      </c>
      <c r="H36" s="64">
        <f t="shared" si="22"/>
        <v>-435.482064</v>
      </c>
      <c r="I36" s="64">
        <f t="shared" si="22"/>
        <v>-422.482064</v>
      </c>
      <c r="J36" s="64">
        <f t="shared" si="22"/>
        <v>-409.482064</v>
      </c>
      <c r="K36" s="64">
        <f t="shared" si="22"/>
        <v>-395.482064</v>
      </c>
      <c r="L36" s="64">
        <f t="shared" si="22"/>
        <v>-381.482064</v>
      </c>
      <c r="M36" s="64">
        <f t="shared" si="22"/>
        <v>-367.482064</v>
      </c>
      <c r="N36" s="64">
        <f t="shared" si="22"/>
        <v>-352.482064</v>
      </c>
      <c r="O36" s="64">
        <f t="shared" si="22"/>
        <v>-337.482064</v>
      </c>
      <c r="P36" s="64">
        <f t="shared" si="22"/>
        <v>-321.482064</v>
      </c>
      <c r="Q36" s="64">
        <f t="shared" si="22"/>
        <v>-306.482064</v>
      </c>
      <c r="R36" s="64">
        <f t="shared" si="22"/>
        <v>-289.482064</v>
      </c>
      <c r="S36" s="64">
        <f t="shared" si="22"/>
        <v>-273.482064</v>
      </c>
      <c r="T36" s="64">
        <f t="shared" si="22"/>
        <v>-256.482064</v>
      </c>
      <c r="U36" s="64">
        <f t="shared" si="22"/>
        <v>-239.482064</v>
      </c>
      <c r="V36" s="64">
        <f t="shared" si="22"/>
        <v>-221.482064</v>
      </c>
      <c r="W36" s="64">
        <f t="shared" si="22"/>
        <v>-203.482064</v>
      </c>
      <c r="X36" s="64">
        <f t="shared" si="22"/>
        <v>-185.482064</v>
      </c>
      <c r="Y36" s="64">
        <f t="shared" si="22"/>
        <v>-166.482064</v>
      </c>
      <c r="Z36" s="64">
        <f t="shared" si="22"/>
        <v>-146.482064</v>
      </c>
      <c r="AA36" s="64">
        <f t="shared" si="22"/>
        <v>-127.482064</v>
      </c>
      <c r="AB36" s="57">
        <f t="shared" si="22"/>
        <v>46708.6516</v>
      </c>
      <c r="AC36" s="66">
        <f>AC35+AC32</f>
        <v>271.1035627</v>
      </c>
      <c r="AD36" s="20"/>
    </row>
    <row r="37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9"/>
      <c r="AC37" s="69"/>
      <c r="AD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70">
        <f>SUM(C36:AA36)</f>
        <v>-8206.0516</v>
      </c>
      <c r="AB38" s="20"/>
      <c r="AC38" s="20"/>
      <c r="AD38" s="20"/>
    </row>
    <row r="39">
      <c r="A39" s="71" t="s">
        <v>22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3"/>
      <c r="AC39" s="73"/>
      <c r="AD39" s="20"/>
    </row>
    <row r="40">
      <c r="A40" s="73" t="s">
        <v>1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5"/>
      <c r="AC40" s="76">
        <v>16302.0</v>
      </c>
      <c r="AD40" s="20"/>
    </row>
    <row r="41">
      <c r="A41" s="73" t="s">
        <v>2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5"/>
      <c r="AC41" s="77">
        <v>0.0724</v>
      </c>
      <c r="AD41" s="20"/>
    </row>
    <row r="42">
      <c r="A42" s="73" t="s">
        <v>3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5"/>
      <c r="AC42" s="77">
        <v>0.064</v>
      </c>
      <c r="AD42" s="20"/>
    </row>
    <row r="43">
      <c r="A43" s="78" t="s">
        <v>4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79">
        <f>0.3*AC40</f>
        <v>4890.6</v>
      </c>
      <c r="AD43" s="20"/>
    </row>
    <row r="44">
      <c r="A44" s="78" t="s">
        <v>5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80">
        <v>0.0</v>
      </c>
      <c r="AD44" s="20"/>
    </row>
    <row r="45">
      <c r="A45" s="78" t="s">
        <v>6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81">
        <v>0.0</v>
      </c>
      <c r="AD45" s="20"/>
    </row>
    <row r="46">
      <c r="A46" s="82"/>
      <c r="B46" s="83" t="s">
        <v>7</v>
      </c>
      <c r="C46" s="83" t="s">
        <v>8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 t="s">
        <v>9</v>
      </c>
      <c r="AC46" s="84" t="s">
        <v>10</v>
      </c>
      <c r="AD46" s="20"/>
    </row>
    <row r="47" hidden="1">
      <c r="A47" s="84" t="s">
        <v>11</v>
      </c>
      <c r="B47" s="85">
        <v>0.0</v>
      </c>
      <c r="C47" s="85">
        <v>1.0</v>
      </c>
      <c r="D47" s="85">
        <v>2.0</v>
      </c>
      <c r="E47" s="85">
        <v>3.0</v>
      </c>
      <c r="F47" s="85">
        <v>4.0</v>
      </c>
      <c r="G47" s="85">
        <v>5.0</v>
      </c>
      <c r="H47" s="85">
        <v>6.0</v>
      </c>
      <c r="I47" s="85">
        <v>7.0</v>
      </c>
      <c r="J47" s="85">
        <v>8.0</v>
      </c>
      <c r="K47" s="85">
        <v>9.0</v>
      </c>
      <c r="L47" s="85">
        <v>10.0</v>
      </c>
      <c r="M47" s="85">
        <v>11.0</v>
      </c>
      <c r="N47" s="85">
        <v>12.0</v>
      </c>
      <c r="O47" s="85">
        <v>13.0</v>
      </c>
      <c r="P47" s="85">
        <v>14.0</v>
      </c>
      <c r="Q47" s="85">
        <v>15.0</v>
      </c>
      <c r="R47" s="85">
        <v>16.0</v>
      </c>
      <c r="S47" s="85">
        <v>17.0</v>
      </c>
      <c r="T47" s="85">
        <v>18.0</v>
      </c>
      <c r="U47" s="85">
        <v>19.0</v>
      </c>
      <c r="V47" s="85">
        <v>20.0</v>
      </c>
      <c r="W47" s="85">
        <v>21.0</v>
      </c>
      <c r="X47" s="85">
        <v>22.0</v>
      </c>
      <c r="Y47" s="85">
        <v>23.0</v>
      </c>
      <c r="Z47" s="85">
        <v>24.0</v>
      </c>
      <c r="AA47" s="85">
        <v>25.0</v>
      </c>
      <c r="AB47" s="85"/>
      <c r="AC47" s="82"/>
      <c r="AD47" s="20"/>
    </row>
    <row r="48">
      <c r="A48" s="86" t="s">
        <v>12</v>
      </c>
      <c r="B48" s="87">
        <f>AC40-B50-B53</f>
        <v>0</v>
      </c>
      <c r="C48" s="88">
        <f t="shared" ref="C48:AA48" si="23">B48-C50</f>
        <v>0</v>
      </c>
      <c r="D48" s="85">
        <f t="shared" si="23"/>
        <v>0</v>
      </c>
      <c r="E48" s="85">
        <f t="shared" si="23"/>
        <v>0</v>
      </c>
      <c r="F48" s="85">
        <f t="shared" si="23"/>
        <v>0</v>
      </c>
      <c r="G48" s="85">
        <f t="shared" si="23"/>
        <v>0</v>
      </c>
      <c r="H48" s="85">
        <f t="shared" si="23"/>
        <v>0</v>
      </c>
      <c r="I48" s="85">
        <f t="shared" si="23"/>
        <v>0</v>
      </c>
      <c r="J48" s="85">
        <f t="shared" si="23"/>
        <v>0</v>
      </c>
      <c r="K48" s="85">
        <f t="shared" si="23"/>
        <v>0</v>
      </c>
      <c r="L48" s="85">
        <f t="shared" si="23"/>
        <v>0</v>
      </c>
      <c r="M48" s="85">
        <f t="shared" si="23"/>
        <v>0</v>
      </c>
      <c r="N48" s="85">
        <f t="shared" si="23"/>
        <v>0</v>
      </c>
      <c r="O48" s="85">
        <f t="shared" si="23"/>
        <v>0</v>
      </c>
      <c r="P48" s="85">
        <f t="shared" si="23"/>
        <v>0</v>
      </c>
      <c r="Q48" s="85">
        <f t="shared" si="23"/>
        <v>0</v>
      </c>
      <c r="R48" s="85">
        <f t="shared" si="23"/>
        <v>0</v>
      </c>
      <c r="S48" s="85">
        <f t="shared" si="23"/>
        <v>0</v>
      </c>
      <c r="T48" s="85">
        <f t="shared" si="23"/>
        <v>0</v>
      </c>
      <c r="U48" s="85">
        <f t="shared" si="23"/>
        <v>0</v>
      </c>
      <c r="V48" s="85">
        <f t="shared" si="23"/>
        <v>0</v>
      </c>
      <c r="W48" s="85">
        <f t="shared" si="23"/>
        <v>0</v>
      </c>
      <c r="X48" s="85">
        <f t="shared" si="23"/>
        <v>0</v>
      </c>
      <c r="Y48" s="85">
        <f t="shared" si="23"/>
        <v>0</v>
      </c>
      <c r="Z48" s="85">
        <f t="shared" si="23"/>
        <v>0</v>
      </c>
      <c r="AA48" s="85">
        <f t="shared" si="23"/>
        <v>0</v>
      </c>
      <c r="AB48" s="85"/>
      <c r="AC48" s="82"/>
      <c r="AD48" s="20"/>
    </row>
    <row r="49">
      <c r="A49" s="89" t="s">
        <v>13</v>
      </c>
      <c r="B49" s="90">
        <v>0.0</v>
      </c>
      <c r="C49" s="90">
        <f t="shared" ref="C49:AA49" si="24">B48*$AC$3</f>
        <v>0</v>
      </c>
      <c r="D49" s="90">
        <f t="shared" si="24"/>
        <v>0</v>
      </c>
      <c r="E49" s="90">
        <f t="shared" si="24"/>
        <v>0</v>
      </c>
      <c r="F49" s="90">
        <f t="shared" si="24"/>
        <v>0</v>
      </c>
      <c r="G49" s="90">
        <f t="shared" si="24"/>
        <v>0</v>
      </c>
      <c r="H49" s="90">
        <f t="shared" si="24"/>
        <v>0</v>
      </c>
      <c r="I49" s="90">
        <f t="shared" si="24"/>
        <v>0</v>
      </c>
      <c r="J49" s="90">
        <f t="shared" si="24"/>
        <v>0</v>
      </c>
      <c r="K49" s="90">
        <f t="shared" si="24"/>
        <v>0</v>
      </c>
      <c r="L49" s="90">
        <f t="shared" si="24"/>
        <v>0</v>
      </c>
      <c r="M49" s="90">
        <f t="shared" si="24"/>
        <v>0</v>
      </c>
      <c r="N49" s="90">
        <f t="shared" si="24"/>
        <v>0</v>
      </c>
      <c r="O49" s="90">
        <f t="shared" si="24"/>
        <v>0</v>
      </c>
      <c r="P49" s="90">
        <f t="shared" si="24"/>
        <v>0</v>
      </c>
      <c r="Q49" s="90">
        <f t="shared" si="24"/>
        <v>0</v>
      </c>
      <c r="R49" s="90">
        <f t="shared" si="24"/>
        <v>0</v>
      </c>
      <c r="S49" s="90">
        <f t="shared" si="24"/>
        <v>0</v>
      </c>
      <c r="T49" s="90">
        <f t="shared" si="24"/>
        <v>0</v>
      </c>
      <c r="U49" s="90">
        <f t="shared" si="24"/>
        <v>0</v>
      </c>
      <c r="V49" s="90">
        <f t="shared" si="24"/>
        <v>0</v>
      </c>
      <c r="W49" s="90">
        <f t="shared" si="24"/>
        <v>0</v>
      </c>
      <c r="X49" s="90">
        <f t="shared" si="24"/>
        <v>0</v>
      </c>
      <c r="Y49" s="90">
        <f t="shared" si="24"/>
        <v>0</v>
      </c>
      <c r="Z49" s="90">
        <f t="shared" si="24"/>
        <v>0</v>
      </c>
      <c r="AA49" s="90">
        <f t="shared" si="24"/>
        <v>0</v>
      </c>
      <c r="AB49" s="90">
        <f t="shared" ref="AB49:AB51" si="26">-SUM(B49:AA49)</f>
        <v>0</v>
      </c>
      <c r="AC49" s="91">
        <f t="shared" ref="AC49:AC51" si="27">-(B49+NPV($AC$4, C49:AA49))</f>
        <v>0</v>
      </c>
      <c r="AD49" s="20"/>
    </row>
    <row r="50">
      <c r="A50" s="89" t="s">
        <v>14</v>
      </c>
      <c r="B50" s="90">
        <f>AC40-B53</f>
        <v>11411.4</v>
      </c>
      <c r="C50" s="90">
        <f t="shared" ref="C50:AA50" si="25">IF(B48=0, 0, C51-C49)</f>
        <v>0</v>
      </c>
      <c r="D50" s="90">
        <f t="shared" si="25"/>
        <v>0</v>
      </c>
      <c r="E50" s="90">
        <f t="shared" si="25"/>
        <v>0</v>
      </c>
      <c r="F50" s="90">
        <f t="shared" si="25"/>
        <v>0</v>
      </c>
      <c r="G50" s="90">
        <f t="shared" si="25"/>
        <v>0</v>
      </c>
      <c r="H50" s="90">
        <f t="shared" si="25"/>
        <v>0</v>
      </c>
      <c r="I50" s="90">
        <f t="shared" si="25"/>
        <v>0</v>
      </c>
      <c r="J50" s="90">
        <f t="shared" si="25"/>
        <v>0</v>
      </c>
      <c r="K50" s="90">
        <f t="shared" si="25"/>
        <v>0</v>
      </c>
      <c r="L50" s="90">
        <f t="shared" si="25"/>
        <v>0</v>
      </c>
      <c r="M50" s="90">
        <f t="shared" si="25"/>
        <v>0</v>
      </c>
      <c r="N50" s="90">
        <f t="shared" si="25"/>
        <v>0</v>
      </c>
      <c r="O50" s="90">
        <f t="shared" si="25"/>
        <v>0</v>
      </c>
      <c r="P50" s="90">
        <f t="shared" si="25"/>
        <v>0</v>
      </c>
      <c r="Q50" s="90">
        <f t="shared" si="25"/>
        <v>0</v>
      </c>
      <c r="R50" s="90">
        <f t="shared" si="25"/>
        <v>0</v>
      </c>
      <c r="S50" s="90">
        <f t="shared" si="25"/>
        <v>0</v>
      </c>
      <c r="T50" s="90">
        <f t="shared" si="25"/>
        <v>0</v>
      </c>
      <c r="U50" s="90">
        <f t="shared" si="25"/>
        <v>0</v>
      </c>
      <c r="V50" s="90">
        <f t="shared" si="25"/>
        <v>0</v>
      </c>
      <c r="W50" s="90">
        <f t="shared" si="25"/>
        <v>0</v>
      </c>
      <c r="X50" s="90">
        <f t="shared" si="25"/>
        <v>0</v>
      </c>
      <c r="Y50" s="90">
        <f t="shared" si="25"/>
        <v>0</v>
      </c>
      <c r="Z50" s="90">
        <f t="shared" si="25"/>
        <v>0</v>
      </c>
      <c r="AA50" s="90">
        <f t="shared" si="25"/>
        <v>0</v>
      </c>
      <c r="AB50" s="92">
        <f t="shared" si="26"/>
        <v>-11411.4</v>
      </c>
      <c r="AC50" s="93">
        <f t="shared" si="27"/>
        <v>-11411.4</v>
      </c>
      <c r="AD50" s="20"/>
    </row>
    <row r="51">
      <c r="A51" s="86" t="s">
        <v>15</v>
      </c>
      <c r="B51" s="90">
        <f>B49+B50</f>
        <v>11411.4</v>
      </c>
      <c r="C51" s="90">
        <f t="shared" ref="C51:AA51" si="28">ABS(PMT($AC$3,25,$B$48,0))</f>
        <v>0</v>
      </c>
      <c r="D51" s="90">
        <f t="shared" si="28"/>
        <v>0</v>
      </c>
      <c r="E51" s="90">
        <f t="shared" si="28"/>
        <v>0</v>
      </c>
      <c r="F51" s="90">
        <f t="shared" si="28"/>
        <v>0</v>
      </c>
      <c r="G51" s="90">
        <f t="shared" si="28"/>
        <v>0</v>
      </c>
      <c r="H51" s="90">
        <f t="shared" si="28"/>
        <v>0</v>
      </c>
      <c r="I51" s="90">
        <f t="shared" si="28"/>
        <v>0</v>
      </c>
      <c r="J51" s="90">
        <f t="shared" si="28"/>
        <v>0</v>
      </c>
      <c r="K51" s="90">
        <f t="shared" si="28"/>
        <v>0</v>
      </c>
      <c r="L51" s="90">
        <f t="shared" si="28"/>
        <v>0</v>
      </c>
      <c r="M51" s="90">
        <f t="shared" si="28"/>
        <v>0</v>
      </c>
      <c r="N51" s="90">
        <f t="shared" si="28"/>
        <v>0</v>
      </c>
      <c r="O51" s="90">
        <f t="shared" si="28"/>
        <v>0</v>
      </c>
      <c r="P51" s="90">
        <f t="shared" si="28"/>
        <v>0</v>
      </c>
      <c r="Q51" s="90">
        <f t="shared" si="28"/>
        <v>0</v>
      </c>
      <c r="R51" s="90">
        <f t="shared" si="28"/>
        <v>0</v>
      </c>
      <c r="S51" s="90">
        <f t="shared" si="28"/>
        <v>0</v>
      </c>
      <c r="T51" s="90">
        <f t="shared" si="28"/>
        <v>0</v>
      </c>
      <c r="U51" s="90">
        <f t="shared" si="28"/>
        <v>0</v>
      </c>
      <c r="V51" s="90">
        <f t="shared" si="28"/>
        <v>0</v>
      </c>
      <c r="W51" s="90">
        <f t="shared" si="28"/>
        <v>0</v>
      </c>
      <c r="X51" s="90">
        <f t="shared" si="28"/>
        <v>0</v>
      </c>
      <c r="Y51" s="90">
        <f t="shared" si="28"/>
        <v>0</v>
      </c>
      <c r="Z51" s="90">
        <f t="shared" si="28"/>
        <v>0</v>
      </c>
      <c r="AA51" s="90">
        <f t="shared" si="28"/>
        <v>0</v>
      </c>
      <c r="AB51" s="92">
        <f t="shared" si="26"/>
        <v>-11411.4</v>
      </c>
      <c r="AC51" s="93">
        <f t="shared" si="27"/>
        <v>-11411.4</v>
      </c>
      <c r="AD51" s="20"/>
    </row>
    <row r="52">
      <c r="A52" s="91" t="s">
        <v>23</v>
      </c>
      <c r="B52" s="85">
        <v>0.0</v>
      </c>
      <c r="C52" s="90">
        <v>503.0</v>
      </c>
      <c r="D52" s="90">
        <v>515.0</v>
      </c>
      <c r="E52" s="90">
        <v>527.0</v>
      </c>
      <c r="F52" s="90">
        <v>539.0</v>
      </c>
      <c r="G52" s="90">
        <v>552.0</v>
      </c>
      <c r="H52" s="90">
        <v>565.0</v>
      </c>
      <c r="I52" s="90">
        <v>578.0</v>
      </c>
      <c r="J52" s="90">
        <v>591.0</v>
      </c>
      <c r="K52" s="90">
        <v>605.0</v>
      </c>
      <c r="L52" s="90">
        <v>619.0</v>
      </c>
      <c r="M52" s="90">
        <v>633.0</v>
      </c>
      <c r="N52" s="90">
        <v>648.0</v>
      </c>
      <c r="O52" s="90">
        <v>663.0</v>
      </c>
      <c r="P52" s="90">
        <v>679.0</v>
      </c>
      <c r="Q52" s="90">
        <v>694.0</v>
      </c>
      <c r="R52" s="90">
        <v>711.0</v>
      </c>
      <c r="S52" s="90">
        <v>727.0</v>
      </c>
      <c r="T52" s="90">
        <v>744.0</v>
      </c>
      <c r="U52" s="90">
        <v>761.0</v>
      </c>
      <c r="V52" s="90">
        <v>779.0</v>
      </c>
      <c r="W52" s="90">
        <v>797.0</v>
      </c>
      <c r="X52" s="90">
        <v>815.0</v>
      </c>
      <c r="Y52" s="90">
        <v>834.0</v>
      </c>
      <c r="Z52" s="90">
        <v>854.0</v>
      </c>
      <c r="AA52" s="90">
        <v>873.0</v>
      </c>
      <c r="AB52" s="90">
        <f t="shared" ref="AB52:AB54" si="30">SUM(B52:AA52)</f>
        <v>16806</v>
      </c>
      <c r="AC52" s="91">
        <f t="shared" ref="AC52:AC54" si="31">B52+NPV($AC$3, C52:AA52)</f>
        <v>7070.836459</v>
      </c>
      <c r="AD52" s="20"/>
    </row>
    <row r="53">
      <c r="A53" s="94" t="s">
        <v>17</v>
      </c>
      <c r="B53" s="90">
        <f>AC43+AC44</f>
        <v>4890.6</v>
      </c>
      <c r="C53" s="90">
        <f t="shared" ref="C53:AA53" si="29">$AC$7</f>
        <v>0</v>
      </c>
      <c r="D53" s="90">
        <f t="shared" si="29"/>
        <v>0</v>
      </c>
      <c r="E53" s="90">
        <f t="shared" si="29"/>
        <v>0</v>
      </c>
      <c r="F53" s="90">
        <f t="shared" si="29"/>
        <v>0</v>
      </c>
      <c r="G53" s="90">
        <f t="shared" si="29"/>
        <v>0</v>
      </c>
      <c r="H53" s="90">
        <f t="shared" si="29"/>
        <v>0</v>
      </c>
      <c r="I53" s="90">
        <f t="shared" si="29"/>
        <v>0</v>
      </c>
      <c r="J53" s="90">
        <f t="shared" si="29"/>
        <v>0</v>
      </c>
      <c r="K53" s="90">
        <f t="shared" si="29"/>
        <v>0</v>
      </c>
      <c r="L53" s="90">
        <f t="shared" si="29"/>
        <v>0</v>
      </c>
      <c r="M53" s="90">
        <f t="shared" si="29"/>
        <v>0</v>
      </c>
      <c r="N53" s="90">
        <f t="shared" si="29"/>
        <v>0</v>
      </c>
      <c r="O53" s="90">
        <f t="shared" si="29"/>
        <v>0</v>
      </c>
      <c r="P53" s="90">
        <f t="shared" si="29"/>
        <v>0</v>
      </c>
      <c r="Q53" s="90">
        <f t="shared" si="29"/>
        <v>0</v>
      </c>
      <c r="R53" s="90">
        <f t="shared" si="29"/>
        <v>0</v>
      </c>
      <c r="S53" s="90">
        <f t="shared" si="29"/>
        <v>0</v>
      </c>
      <c r="T53" s="90">
        <f t="shared" si="29"/>
        <v>0</v>
      </c>
      <c r="U53" s="90">
        <f t="shared" si="29"/>
        <v>0</v>
      </c>
      <c r="V53" s="90">
        <f t="shared" si="29"/>
        <v>0</v>
      </c>
      <c r="W53" s="90">
        <f t="shared" si="29"/>
        <v>0</v>
      </c>
      <c r="X53" s="90">
        <f t="shared" si="29"/>
        <v>0</v>
      </c>
      <c r="Y53" s="90">
        <f t="shared" si="29"/>
        <v>0</v>
      </c>
      <c r="Z53" s="90">
        <f t="shared" si="29"/>
        <v>0</v>
      </c>
      <c r="AA53" s="90">
        <f t="shared" si="29"/>
        <v>0</v>
      </c>
      <c r="AB53" s="90">
        <f t="shared" si="30"/>
        <v>4890.6</v>
      </c>
      <c r="AC53" s="91">
        <f t="shared" si="31"/>
        <v>4890.6</v>
      </c>
      <c r="AD53" s="20"/>
    </row>
    <row r="54">
      <c r="A54" s="95" t="s">
        <v>21</v>
      </c>
      <c r="B54" s="91">
        <f t="shared" ref="B54:AA54" si="32">B52+B53</f>
        <v>4890.6</v>
      </c>
      <c r="C54" s="91">
        <f t="shared" si="32"/>
        <v>503</v>
      </c>
      <c r="D54" s="91">
        <f t="shared" si="32"/>
        <v>515</v>
      </c>
      <c r="E54" s="91">
        <f t="shared" si="32"/>
        <v>527</v>
      </c>
      <c r="F54" s="91">
        <f t="shared" si="32"/>
        <v>539</v>
      </c>
      <c r="G54" s="91">
        <f t="shared" si="32"/>
        <v>552</v>
      </c>
      <c r="H54" s="91">
        <f t="shared" si="32"/>
        <v>565</v>
      </c>
      <c r="I54" s="91">
        <f t="shared" si="32"/>
        <v>578</v>
      </c>
      <c r="J54" s="91">
        <f t="shared" si="32"/>
        <v>591</v>
      </c>
      <c r="K54" s="91">
        <f t="shared" si="32"/>
        <v>605</v>
      </c>
      <c r="L54" s="91">
        <f t="shared" si="32"/>
        <v>619</v>
      </c>
      <c r="M54" s="91">
        <f t="shared" si="32"/>
        <v>633</v>
      </c>
      <c r="N54" s="91">
        <f t="shared" si="32"/>
        <v>648</v>
      </c>
      <c r="O54" s="91">
        <f t="shared" si="32"/>
        <v>663</v>
      </c>
      <c r="P54" s="91">
        <f t="shared" si="32"/>
        <v>679</v>
      </c>
      <c r="Q54" s="91">
        <f t="shared" si="32"/>
        <v>694</v>
      </c>
      <c r="R54" s="91">
        <f t="shared" si="32"/>
        <v>711</v>
      </c>
      <c r="S54" s="91">
        <f t="shared" si="32"/>
        <v>727</v>
      </c>
      <c r="T54" s="91">
        <f t="shared" si="32"/>
        <v>744</v>
      </c>
      <c r="U54" s="91">
        <f t="shared" si="32"/>
        <v>761</v>
      </c>
      <c r="V54" s="91">
        <f t="shared" si="32"/>
        <v>779</v>
      </c>
      <c r="W54" s="91">
        <f t="shared" si="32"/>
        <v>797</v>
      </c>
      <c r="X54" s="91">
        <f t="shared" si="32"/>
        <v>815</v>
      </c>
      <c r="Y54" s="91">
        <f t="shared" si="32"/>
        <v>834</v>
      </c>
      <c r="Z54" s="91">
        <f t="shared" si="32"/>
        <v>854</v>
      </c>
      <c r="AA54" s="91">
        <f t="shared" si="32"/>
        <v>873</v>
      </c>
      <c r="AB54" s="90">
        <f t="shared" si="30"/>
        <v>21696.6</v>
      </c>
      <c r="AC54" s="91">
        <f t="shared" si="31"/>
        <v>11961.43646</v>
      </c>
      <c r="AD54" s="20"/>
    </row>
    <row r="55">
      <c r="A55" s="83" t="s">
        <v>19</v>
      </c>
      <c r="B55" s="96"/>
      <c r="C55" s="62">
        <f t="shared" ref="C55:AB55" si="33">C54-C51</f>
        <v>503</v>
      </c>
      <c r="D55" s="62">
        <f t="shared" si="33"/>
        <v>515</v>
      </c>
      <c r="E55" s="62">
        <f t="shared" si="33"/>
        <v>527</v>
      </c>
      <c r="F55" s="62">
        <f t="shared" si="33"/>
        <v>539</v>
      </c>
      <c r="G55" s="62">
        <f t="shared" si="33"/>
        <v>552</v>
      </c>
      <c r="H55" s="62">
        <f t="shared" si="33"/>
        <v>565</v>
      </c>
      <c r="I55" s="62">
        <f t="shared" si="33"/>
        <v>578</v>
      </c>
      <c r="J55" s="62">
        <f t="shared" si="33"/>
        <v>591</v>
      </c>
      <c r="K55" s="62">
        <f t="shared" si="33"/>
        <v>605</v>
      </c>
      <c r="L55" s="62">
        <f t="shared" si="33"/>
        <v>619</v>
      </c>
      <c r="M55" s="62">
        <f t="shared" si="33"/>
        <v>633</v>
      </c>
      <c r="N55" s="62">
        <f t="shared" si="33"/>
        <v>648</v>
      </c>
      <c r="O55" s="62">
        <f t="shared" si="33"/>
        <v>663</v>
      </c>
      <c r="P55" s="62">
        <f t="shared" si="33"/>
        <v>679</v>
      </c>
      <c r="Q55" s="62">
        <f t="shared" si="33"/>
        <v>694</v>
      </c>
      <c r="R55" s="62">
        <f t="shared" si="33"/>
        <v>711</v>
      </c>
      <c r="S55" s="62">
        <f t="shared" si="33"/>
        <v>727</v>
      </c>
      <c r="T55" s="62">
        <f t="shared" si="33"/>
        <v>744</v>
      </c>
      <c r="U55" s="62">
        <f t="shared" si="33"/>
        <v>761</v>
      </c>
      <c r="V55" s="62">
        <f t="shared" si="33"/>
        <v>779</v>
      </c>
      <c r="W55" s="62">
        <f t="shared" si="33"/>
        <v>797</v>
      </c>
      <c r="X55" s="62">
        <f t="shared" si="33"/>
        <v>815</v>
      </c>
      <c r="Y55" s="62">
        <f t="shared" si="33"/>
        <v>834</v>
      </c>
      <c r="Z55" s="62">
        <f t="shared" si="33"/>
        <v>854</v>
      </c>
      <c r="AA55" s="62">
        <f t="shared" si="33"/>
        <v>873</v>
      </c>
      <c r="AB55" s="91">
        <f t="shared" si="33"/>
        <v>33108</v>
      </c>
      <c r="AC55" s="97">
        <f>AC54+AC51</f>
        <v>550.0364585</v>
      </c>
      <c r="AD55" s="20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idden="1">
      <c r="A60" s="98" t="s">
        <v>24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100"/>
      <c r="AC60" s="100"/>
      <c r="AD60" s="20"/>
    </row>
    <row r="61" hidden="1">
      <c r="A61" s="101" t="s">
        <v>1</v>
      </c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2"/>
      <c r="AC61" s="104">
        <v>16302.0</v>
      </c>
      <c r="AD61" s="20"/>
    </row>
    <row r="62" hidden="1">
      <c r="A62" s="101" t="s">
        <v>2</v>
      </c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2"/>
      <c r="AC62" s="105">
        <v>0.0724</v>
      </c>
      <c r="AD62" s="20"/>
    </row>
    <row r="63" hidden="1">
      <c r="A63" s="101" t="s">
        <v>3</v>
      </c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2"/>
      <c r="AC63" s="106">
        <v>0.064</v>
      </c>
      <c r="AD63" s="20"/>
    </row>
    <row r="64" hidden="1">
      <c r="A64" s="107" t="s">
        <v>4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8">
        <f>0</f>
        <v>0</v>
      </c>
      <c r="AD64" s="20"/>
    </row>
    <row r="65" hidden="1">
      <c r="A65" s="107" t="s">
        <v>5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8">
        <v>2077.2</v>
      </c>
      <c r="AD65" s="20"/>
    </row>
    <row r="66" hidden="1">
      <c r="A66" s="107" t="s">
        <v>6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8">
        <v>0.0</v>
      </c>
      <c r="AD66" s="20"/>
    </row>
    <row r="67" hidden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10" t="s">
        <v>9</v>
      </c>
      <c r="AC67" s="111" t="s">
        <v>10</v>
      </c>
      <c r="AD67" s="20"/>
    </row>
    <row r="68" hidden="1">
      <c r="A68" s="111"/>
      <c r="B68" s="112" t="s">
        <v>7</v>
      </c>
      <c r="C68" s="112" t="s">
        <v>8</v>
      </c>
      <c r="D68" s="113">
        <v>2.0</v>
      </c>
      <c r="E68" s="113">
        <v>3.0</v>
      </c>
      <c r="F68" s="113">
        <v>4.0</v>
      </c>
      <c r="G68" s="113">
        <v>5.0</v>
      </c>
      <c r="H68" s="113">
        <v>6.0</v>
      </c>
      <c r="I68" s="113">
        <v>7.0</v>
      </c>
      <c r="J68" s="113">
        <v>8.0</v>
      </c>
      <c r="K68" s="113">
        <v>9.0</v>
      </c>
      <c r="L68" s="113">
        <v>10.0</v>
      </c>
      <c r="M68" s="113">
        <v>11.0</v>
      </c>
      <c r="N68" s="113">
        <v>12.0</v>
      </c>
      <c r="O68" s="113">
        <v>13.0</v>
      </c>
      <c r="P68" s="113">
        <v>14.0</v>
      </c>
      <c r="Q68" s="113">
        <v>15.0</v>
      </c>
      <c r="R68" s="113">
        <v>16.0</v>
      </c>
      <c r="S68" s="113">
        <v>17.0</v>
      </c>
      <c r="T68" s="113">
        <v>18.0</v>
      </c>
      <c r="U68" s="113">
        <v>19.0</v>
      </c>
      <c r="V68" s="113">
        <v>20.0</v>
      </c>
      <c r="W68" s="113">
        <v>21.0</v>
      </c>
      <c r="X68" s="113">
        <v>22.0</v>
      </c>
      <c r="Y68" s="113">
        <v>23.0</v>
      </c>
      <c r="Z68" s="113">
        <v>24.0</v>
      </c>
      <c r="AA68" s="113">
        <v>25.0</v>
      </c>
      <c r="AB68" s="113"/>
      <c r="AC68" s="114"/>
      <c r="AD68" s="20"/>
    </row>
    <row r="69" hidden="1">
      <c r="A69" s="115" t="s">
        <v>12</v>
      </c>
      <c r="B69" s="111">
        <f>AC61-B74</f>
        <v>14224.8</v>
      </c>
      <c r="C69" s="111">
        <f t="shared" ref="C69:AA69" si="34">B69-C71</f>
        <v>14007.53168</v>
      </c>
      <c r="D69" s="113">
        <f t="shared" si="34"/>
        <v>13774.53312</v>
      </c>
      <c r="E69" s="113">
        <f t="shared" si="34"/>
        <v>13524.66548</v>
      </c>
      <c r="F69" s="113">
        <f t="shared" si="34"/>
        <v>13256.70742</v>
      </c>
      <c r="G69" s="113">
        <f t="shared" si="34"/>
        <v>12969.34919</v>
      </c>
      <c r="H69" s="113">
        <f t="shared" si="34"/>
        <v>12661.18623</v>
      </c>
      <c r="I69" s="113">
        <f t="shared" si="34"/>
        <v>12330.71226</v>
      </c>
      <c r="J69" s="113">
        <f t="shared" si="34"/>
        <v>11976.31199</v>
      </c>
      <c r="K69" s="113">
        <f t="shared" si="34"/>
        <v>11596.25313</v>
      </c>
      <c r="L69" s="113">
        <f t="shared" si="34"/>
        <v>11188.67801</v>
      </c>
      <c r="M69" s="113">
        <f t="shared" si="34"/>
        <v>10751.59446</v>
      </c>
      <c r="N69" s="113">
        <f t="shared" si="34"/>
        <v>10282.86605</v>
      </c>
      <c r="O69" s="113">
        <f t="shared" si="34"/>
        <v>9780.20171</v>
      </c>
      <c r="P69" s="113">
        <f t="shared" si="34"/>
        <v>9241.14447</v>
      </c>
      <c r="Q69" s="113">
        <f t="shared" si="34"/>
        <v>8663.059485</v>
      </c>
      <c r="R69" s="113">
        <f t="shared" si="34"/>
        <v>8043.121147</v>
      </c>
      <c r="S69" s="113">
        <f t="shared" si="34"/>
        <v>7378.299274</v>
      </c>
      <c r="T69" s="113">
        <f t="shared" si="34"/>
        <v>6665.344298</v>
      </c>
      <c r="U69" s="113">
        <f t="shared" si="34"/>
        <v>5900.77138</v>
      </c>
      <c r="V69" s="113">
        <f t="shared" si="34"/>
        <v>5080.843384</v>
      </c>
      <c r="W69" s="113">
        <f t="shared" si="34"/>
        <v>4201.552601</v>
      </c>
      <c r="X69" s="113">
        <f t="shared" si="34"/>
        <v>3258.601165</v>
      </c>
      <c r="Y69" s="113">
        <f t="shared" si="34"/>
        <v>2247.380045</v>
      </c>
      <c r="Z69" s="113">
        <f t="shared" si="34"/>
        <v>1162.946516</v>
      </c>
      <c r="AA69" s="113">
        <f t="shared" si="34"/>
        <v>0</v>
      </c>
      <c r="AB69" s="113"/>
      <c r="AC69" s="114"/>
      <c r="AD69" s="20"/>
    </row>
    <row r="70" hidden="1">
      <c r="A70" s="115" t="s">
        <v>13</v>
      </c>
      <c r="B70" s="113">
        <v>0.0</v>
      </c>
      <c r="C70" s="113">
        <f t="shared" ref="C70:AA70" si="35">B69*$AC$3</f>
        <v>1029.87552</v>
      </c>
      <c r="D70" s="113">
        <f t="shared" si="35"/>
        <v>1014.145293</v>
      </c>
      <c r="E70" s="113">
        <f t="shared" si="35"/>
        <v>997.2761982</v>
      </c>
      <c r="F70" s="113">
        <f t="shared" si="35"/>
        <v>979.1857807</v>
      </c>
      <c r="G70" s="113">
        <f t="shared" si="35"/>
        <v>959.7856169</v>
      </c>
      <c r="H70" s="113">
        <f t="shared" si="35"/>
        <v>938.9808812</v>
      </c>
      <c r="I70" s="113">
        <f t="shared" si="35"/>
        <v>916.6698827</v>
      </c>
      <c r="J70" s="113">
        <f t="shared" si="35"/>
        <v>892.7435679</v>
      </c>
      <c r="K70" s="113">
        <f t="shared" si="35"/>
        <v>867.0849879</v>
      </c>
      <c r="L70" s="113">
        <f t="shared" si="35"/>
        <v>839.5687267</v>
      </c>
      <c r="M70" s="113">
        <f t="shared" si="35"/>
        <v>810.0602882</v>
      </c>
      <c r="N70" s="113">
        <f t="shared" si="35"/>
        <v>778.4154387</v>
      </c>
      <c r="O70" s="113">
        <f t="shared" si="35"/>
        <v>744.4795022</v>
      </c>
      <c r="P70" s="113">
        <f t="shared" si="35"/>
        <v>708.0866038</v>
      </c>
      <c r="Q70" s="113">
        <f t="shared" si="35"/>
        <v>669.0588596</v>
      </c>
      <c r="R70" s="113">
        <f t="shared" si="35"/>
        <v>627.2055067</v>
      </c>
      <c r="S70" s="113">
        <f t="shared" si="35"/>
        <v>582.3219711</v>
      </c>
      <c r="T70" s="113">
        <f t="shared" si="35"/>
        <v>534.1888675</v>
      </c>
      <c r="U70" s="113">
        <f t="shared" si="35"/>
        <v>482.5709271</v>
      </c>
      <c r="V70" s="113">
        <f t="shared" si="35"/>
        <v>427.2158479</v>
      </c>
      <c r="W70" s="113">
        <f t="shared" si="35"/>
        <v>367.853061</v>
      </c>
      <c r="X70" s="113">
        <f t="shared" si="35"/>
        <v>304.1924083</v>
      </c>
      <c r="Y70" s="113">
        <f t="shared" si="35"/>
        <v>235.9227244</v>
      </c>
      <c r="Z70" s="113">
        <f t="shared" si="35"/>
        <v>162.7103153</v>
      </c>
      <c r="AA70" s="113">
        <f t="shared" si="35"/>
        <v>84.19732779</v>
      </c>
      <c r="AB70" s="116">
        <f t="shared" ref="AB70:AB72" si="37">-SUM(B70:AA70)</f>
        <v>-16953.79611</v>
      </c>
      <c r="AC70" s="117">
        <f t="shared" ref="AC70:AC72" si="38">-(B70+NPV($AC$4, C70:AA70))</f>
        <v>-9735.078179</v>
      </c>
      <c r="AD70" s="20"/>
    </row>
    <row r="71" hidden="1">
      <c r="A71" s="115" t="s">
        <v>14</v>
      </c>
      <c r="B71" s="113">
        <v>0.0</v>
      </c>
      <c r="C71" s="113">
        <f t="shared" ref="C71:AA71" si="36">IF(B69=0, 0, C72-C70)</f>
        <v>217.2683242</v>
      </c>
      <c r="D71" s="113">
        <f t="shared" si="36"/>
        <v>232.9985509</v>
      </c>
      <c r="E71" s="113">
        <f t="shared" si="36"/>
        <v>249.867646</v>
      </c>
      <c r="F71" s="113">
        <f t="shared" si="36"/>
        <v>267.9580635</v>
      </c>
      <c r="G71" s="113">
        <f t="shared" si="36"/>
        <v>287.3582273</v>
      </c>
      <c r="H71" s="113">
        <f t="shared" si="36"/>
        <v>308.162963</v>
      </c>
      <c r="I71" s="113">
        <f t="shared" si="36"/>
        <v>330.4739615</v>
      </c>
      <c r="J71" s="113">
        <f t="shared" si="36"/>
        <v>354.4002763</v>
      </c>
      <c r="K71" s="113">
        <f t="shared" si="36"/>
        <v>380.0588563</v>
      </c>
      <c r="L71" s="113">
        <f t="shared" si="36"/>
        <v>407.5751175</v>
      </c>
      <c r="M71" s="113">
        <f t="shared" si="36"/>
        <v>437.083556</v>
      </c>
      <c r="N71" s="113">
        <f t="shared" si="36"/>
        <v>468.7284055</v>
      </c>
      <c r="O71" s="113">
        <f t="shared" si="36"/>
        <v>502.664342</v>
      </c>
      <c r="P71" s="113">
        <f t="shared" si="36"/>
        <v>539.0572404</v>
      </c>
      <c r="Q71" s="113">
        <f t="shared" si="36"/>
        <v>578.0849846</v>
      </c>
      <c r="R71" s="113">
        <f t="shared" si="36"/>
        <v>619.9383375</v>
      </c>
      <c r="S71" s="113">
        <f t="shared" si="36"/>
        <v>664.8218731</v>
      </c>
      <c r="T71" s="113">
        <f t="shared" si="36"/>
        <v>712.9549767</v>
      </c>
      <c r="U71" s="113">
        <f t="shared" si="36"/>
        <v>764.5729171</v>
      </c>
      <c r="V71" s="113">
        <f t="shared" si="36"/>
        <v>819.9279963</v>
      </c>
      <c r="W71" s="113">
        <f t="shared" si="36"/>
        <v>879.2907832</v>
      </c>
      <c r="X71" s="113">
        <f t="shared" si="36"/>
        <v>942.9514359</v>
      </c>
      <c r="Y71" s="113">
        <f t="shared" si="36"/>
        <v>1011.22112</v>
      </c>
      <c r="Z71" s="113">
        <f t="shared" si="36"/>
        <v>1084.433529</v>
      </c>
      <c r="AA71" s="113">
        <f t="shared" si="36"/>
        <v>1162.946516</v>
      </c>
      <c r="AB71" s="116">
        <f t="shared" si="37"/>
        <v>-14224.8</v>
      </c>
      <c r="AC71" s="117">
        <f t="shared" si="38"/>
        <v>-5619.206029</v>
      </c>
      <c r="AD71" s="20"/>
    </row>
    <row r="72" hidden="1">
      <c r="A72" s="115" t="s">
        <v>15</v>
      </c>
      <c r="B72" s="113">
        <f>B70+B71</f>
        <v>0</v>
      </c>
      <c r="C72" s="113">
        <f t="shared" ref="C72:AA72" si="39">ABS(PMT($AC$62,25,$B$69,0))</f>
        <v>1247.143844</v>
      </c>
      <c r="D72" s="113">
        <f t="shared" si="39"/>
        <v>1247.143844</v>
      </c>
      <c r="E72" s="113">
        <f t="shared" si="39"/>
        <v>1247.143844</v>
      </c>
      <c r="F72" s="113">
        <f t="shared" si="39"/>
        <v>1247.143844</v>
      </c>
      <c r="G72" s="113">
        <f t="shared" si="39"/>
        <v>1247.143844</v>
      </c>
      <c r="H72" s="113">
        <f t="shared" si="39"/>
        <v>1247.143844</v>
      </c>
      <c r="I72" s="113">
        <f t="shared" si="39"/>
        <v>1247.143844</v>
      </c>
      <c r="J72" s="113">
        <f t="shared" si="39"/>
        <v>1247.143844</v>
      </c>
      <c r="K72" s="113">
        <f t="shared" si="39"/>
        <v>1247.143844</v>
      </c>
      <c r="L72" s="113">
        <f t="shared" si="39"/>
        <v>1247.143844</v>
      </c>
      <c r="M72" s="113">
        <f t="shared" si="39"/>
        <v>1247.143844</v>
      </c>
      <c r="N72" s="113">
        <f t="shared" si="39"/>
        <v>1247.143844</v>
      </c>
      <c r="O72" s="113">
        <f t="shared" si="39"/>
        <v>1247.143844</v>
      </c>
      <c r="P72" s="113">
        <f t="shared" si="39"/>
        <v>1247.143844</v>
      </c>
      <c r="Q72" s="113">
        <f t="shared" si="39"/>
        <v>1247.143844</v>
      </c>
      <c r="R72" s="113">
        <f t="shared" si="39"/>
        <v>1247.143844</v>
      </c>
      <c r="S72" s="113">
        <f t="shared" si="39"/>
        <v>1247.143844</v>
      </c>
      <c r="T72" s="113">
        <f t="shared" si="39"/>
        <v>1247.143844</v>
      </c>
      <c r="U72" s="113">
        <f t="shared" si="39"/>
        <v>1247.143844</v>
      </c>
      <c r="V72" s="113">
        <f t="shared" si="39"/>
        <v>1247.143844</v>
      </c>
      <c r="W72" s="113">
        <f t="shared" si="39"/>
        <v>1247.143844</v>
      </c>
      <c r="X72" s="113">
        <f t="shared" si="39"/>
        <v>1247.143844</v>
      </c>
      <c r="Y72" s="113">
        <f t="shared" si="39"/>
        <v>1247.143844</v>
      </c>
      <c r="Z72" s="113">
        <f t="shared" si="39"/>
        <v>1247.143844</v>
      </c>
      <c r="AA72" s="113">
        <f t="shared" si="39"/>
        <v>1247.143844</v>
      </c>
      <c r="AB72" s="116">
        <f t="shared" si="37"/>
        <v>-31178.59611</v>
      </c>
      <c r="AC72" s="117">
        <f t="shared" si="38"/>
        <v>-15354.28421</v>
      </c>
      <c r="AD72" s="20"/>
    </row>
    <row r="73" hidden="1">
      <c r="A73" s="118" t="s">
        <v>23</v>
      </c>
      <c r="B73" s="119">
        <v>0.0</v>
      </c>
      <c r="C73" s="113">
        <v>503.0</v>
      </c>
      <c r="D73" s="113">
        <v>515.0</v>
      </c>
      <c r="E73" s="113">
        <v>527.0</v>
      </c>
      <c r="F73" s="113">
        <v>539.0</v>
      </c>
      <c r="G73" s="113">
        <v>552.0</v>
      </c>
      <c r="H73" s="113">
        <v>565.0</v>
      </c>
      <c r="I73" s="113">
        <v>578.0</v>
      </c>
      <c r="J73" s="113">
        <v>591.0</v>
      </c>
      <c r="K73" s="113">
        <v>605.0</v>
      </c>
      <c r="L73" s="113">
        <v>619.0</v>
      </c>
      <c r="M73" s="113">
        <v>633.0</v>
      </c>
      <c r="N73" s="113">
        <v>648.0</v>
      </c>
      <c r="O73" s="113">
        <v>663.0</v>
      </c>
      <c r="P73" s="113">
        <v>679.0</v>
      </c>
      <c r="Q73" s="113">
        <v>694.0</v>
      </c>
      <c r="R73" s="113">
        <v>711.0</v>
      </c>
      <c r="S73" s="113">
        <v>727.0</v>
      </c>
      <c r="T73" s="113">
        <v>744.0</v>
      </c>
      <c r="U73" s="113">
        <v>761.0</v>
      </c>
      <c r="V73" s="113">
        <v>779.0</v>
      </c>
      <c r="W73" s="113">
        <v>797.0</v>
      </c>
      <c r="X73" s="113">
        <v>815.0</v>
      </c>
      <c r="Y73" s="113">
        <v>834.0</v>
      </c>
      <c r="Z73" s="113">
        <v>854.0</v>
      </c>
      <c r="AA73" s="113">
        <v>873.0</v>
      </c>
      <c r="AB73" s="113">
        <f t="shared" ref="AB73:AB75" si="41">SUM(B73:AA73)</f>
        <v>16806</v>
      </c>
      <c r="AC73" s="120">
        <f t="shared" ref="AC73:AC75" si="42">B73+NPV($AC$4, C73:AA73)</f>
        <v>7697.996871</v>
      </c>
      <c r="AD73" s="20"/>
    </row>
    <row r="74" hidden="1">
      <c r="A74" s="121" t="s">
        <v>17</v>
      </c>
      <c r="B74" s="113">
        <f>AC64+AC65</f>
        <v>2077.2</v>
      </c>
      <c r="C74" s="111">
        <f t="shared" ref="C74:AA74" si="40">$AC$66</f>
        <v>0</v>
      </c>
      <c r="D74" s="111">
        <f t="shared" si="40"/>
        <v>0</v>
      </c>
      <c r="E74" s="111">
        <f t="shared" si="40"/>
        <v>0</v>
      </c>
      <c r="F74" s="111">
        <f t="shared" si="40"/>
        <v>0</v>
      </c>
      <c r="G74" s="111">
        <f t="shared" si="40"/>
        <v>0</v>
      </c>
      <c r="H74" s="111">
        <f t="shared" si="40"/>
        <v>0</v>
      </c>
      <c r="I74" s="111">
        <f t="shared" si="40"/>
        <v>0</v>
      </c>
      <c r="J74" s="111">
        <f t="shared" si="40"/>
        <v>0</v>
      </c>
      <c r="K74" s="111">
        <f t="shared" si="40"/>
        <v>0</v>
      </c>
      <c r="L74" s="111">
        <f t="shared" si="40"/>
        <v>0</v>
      </c>
      <c r="M74" s="111">
        <f t="shared" si="40"/>
        <v>0</v>
      </c>
      <c r="N74" s="111">
        <f t="shared" si="40"/>
        <v>0</v>
      </c>
      <c r="O74" s="111">
        <f t="shared" si="40"/>
        <v>0</v>
      </c>
      <c r="P74" s="111">
        <f t="shared" si="40"/>
        <v>0</v>
      </c>
      <c r="Q74" s="111">
        <f t="shared" si="40"/>
        <v>0</v>
      </c>
      <c r="R74" s="111">
        <f t="shared" si="40"/>
        <v>0</v>
      </c>
      <c r="S74" s="111">
        <f t="shared" si="40"/>
        <v>0</v>
      </c>
      <c r="T74" s="111">
        <f t="shared" si="40"/>
        <v>0</v>
      </c>
      <c r="U74" s="111">
        <f t="shared" si="40"/>
        <v>0</v>
      </c>
      <c r="V74" s="111">
        <f t="shared" si="40"/>
        <v>0</v>
      </c>
      <c r="W74" s="111">
        <f t="shared" si="40"/>
        <v>0</v>
      </c>
      <c r="X74" s="111">
        <f t="shared" si="40"/>
        <v>0</v>
      </c>
      <c r="Y74" s="111">
        <f t="shared" si="40"/>
        <v>0</v>
      </c>
      <c r="Z74" s="111">
        <f t="shared" si="40"/>
        <v>0</v>
      </c>
      <c r="AA74" s="111">
        <f t="shared" si="40"/>
        <v>0</v>
      </c>
      <c r="AB74" s="113">
        <f t="shared" si="41"/>
        <v>2077.2</v>
      </c>
      <c r="AC74" s="120">
        <f t="shared" si="42"/>
        <v>2077.2</v>
      </c>
      <c r="AD74" s="20"/>
    </row>
    <row r="75" hidden="1">
      <c r="A75" s="122" t="s">
        <v>18</v>
      </c>
      <c r="B75" s="120">
        <f t="shared" ref="B75:AA75" si="43">B73+B74</f>
        <v>2077.2</v>
      </c>
      <c r="C75" s="120">
        <f t="shared" si="43"/>
        <v>503</v>
      </c>
      <c r="D75" s="120">
        <f t="shared" si="43"/>
        <v>515</v>
      </c>
      <c r="E75" s="120">
        <f t="shared" si="43"/>
        <v>527</v>
      </c>
      <c r="F75" s="120">
        <f t="shared" si="43"/>
        <v>539</v>
      </c>
      <c r="G75" s="120">
        <f t="shared" si="43"/>
        <v>552</v>
      </c>
      <c r="H75" s="120">
        <f t="shared" si="43"/>
        <v>565</v>
      </c>
      <c r="I75" s="120">
        <f t="shared" si="43"/>
        <v>578</v>
      </c>
      <c r="J75" s="120">
        <f t="shared" si="43"/>
        <v>591</v>
      </c>
      <c r="K75" s="120">
        <f t="shared" si="43"/>
        <v>605</v>
      </c>
      <c r="L75" s="120">
        <f t="shared" si="43"/>
        <v>619</v>
      </c>
      <c r="M75" s="120">
        <f t="shared" si="43"/>
        <v>633</v>
      </c>
      <c r="N75" s="120">
        <f t="shared" si="43"/>
        <v>648</v>
      </c>
      <c r="O75" s="120">
        <f t="shared" si="43"/>
        <v>663</v>
      </c>
      <c r="P75" s="120">
        <f t="shared" si="43"/>
        <v>679</v>
      </c>
      <c r="Q75" s="120">
        <f t="shared" si="43"/>
        <v>694</v>
      </c>
      <c r="R75" s="120">
        <f t="shared" si="43"/>
        <v>711</v>
      </c>
      <c r="S75" s="120">
        <f t="shared" si="43"/>
        <v>727</v>
      </c>
      <c r="T75" s="120">
        <f t="shared" si="43"/>
        <v>744</v>
      </c>
      <c r="U75" s="120">
        <f t="shared" si="43"/>
        <v>761</v>
      </c>
      <c r="V75" s="120">
        <f t="shared" si="43"/>
        <v>779</v>
      </c>
      <c r="W75" s="120">
        <f t="shared" si="43"/>
        <v>797</v>
      </c>
      <c r="X75" s="120">
        <f t="shared" si="43"/>
        <v>815</v>
      </c>
      <c r="Y75" s="120">
        <f t="shared" si="43"/>
        <v>834</v>
      </c>
      <c r="Z75" s="120">
        <f t="shared" si="43"/>
        <v>854</v>
      </c>
      <c r="AA75" s="120">
        <f t="shared" si="43"/>
        <v>873</v>
      </c>
      <c r="AB75" s="113">
        <f t="shared" si="41"/>
        <v>18883.2</v>
      </c>
      <c r="AC75" s="120">
        <f t="shared" si="42"/>
        <v>9775.196871</v>
      </c>
      <c r="AD75" s="20"/>
    </row>
    <row r="76" hidden="1">
      <c r="A76" s="110" t="s">
        <v>19</v>
      </c>
      <c r="B76" s="114"/>
      <c r="C76" s="123">
        <f t="shared" ref="C76:AA76" si="44">C75-C72</f>
        <v>-744.1438442</v>
      </c>
      <c r="D76" s="114">
        <f t="shared" si="44"/>
        <v>-732.1438442</v>
      </c>
      <c r="E76" s="114">
        <f t="shared" si="44"/>
        <v>-720.1438442</v>
      </c>
      <c r="F76" s="114">
        <f t="shared" si="44"/>
        <v>-708.1438442</v>
      </c>
      <c r="G76" s="114">
        <f t="shared" si="44"/>
        <v>-695.1438442</v>
      </c>
      <c r="H76" s="114">
        <f t="shared" si="44"/>
        <v>-682.1438442</v>
      </c>
      <c r="I76" s="114">
        <f t="shared" si="44"/>
        <v>-669.1438442</v>
      </c>
      <c r="J76" s="114">
        <f t="shared" si="44"/>
        <v>-656.1438442</v>
      </c>
      <c r="K76" s="114">
        <f t="shared" si="44"/>
        <v>-642.1438442</v>
      </c>
      <c r="L76" s="114">
        <f t="shared" si="44"/>
        <v>-628.1438442</v>
      </c>
      <c r="M76" s="114">
        <f t="shared" si="44"/>
        <v>-614.1438442</v>
      </c>
      <c r="N76" s="114">
        <f t="shared" si="44"/>
        <v>-599.1438442</v>
      </c>
      <c r="O76" s="114">
        <f t="shared" si="44"/>
        <v>-584.1438442</v>
      </c>
      <c r="P76" s="114">
        <f t="shared" si="44"/>
        <v>-568.1438442</v>
      </c>
      <c r="Q76" s="114">
        <f t="shared" si="44"/>
        <v>-553.1438442</v>
      </c>
      <c r="R76" s="114">
        <f t="shared" si="44"/>
        <v>-536.1438442</v>
      </c>
      <c r="S76" s="114">
        <f t="shared" si="44"/>
        <v>-520.1438442</v>
      </c>
      <c r="T76" s="114">
        <f t="shared" si="44"/>
        <v>-503.1438442</v>
      </c>
      <c r="U76" s="114">
        <f t="shared" si="44"/>
        <v>-486.1438442</v>
      </c>
      <c r="V76" s="114">
        <f t="shared" si="44"/>
        <v>-468.1438442</v>
      </c>
      <c r="W76" s="114">
        <f t="shared" si="44"/>
        <v>-450.1438442</v>
      </c>
      <c r="X76" s="114">
        <f t="shared" si="44"/>
        <v>-432.1438442</v>
      </c>
      <c r="Y76" s="114">
        <f t="shared" si="44"/>
        <v>-413.1438442</v>
      </c>
      <c r="Z76" s="114">
        <f t="shared" si="44"/>
        <v>-393.1438442</v>
      </c>
      <c r="AA76" s="114">
        <f t="shared" si="44"/>
        <v>-374.1438442</v>
      </c>
      <c r="AB76" s="117">
        <f t="shared" ref="AB76:AC76" si="45">AB75+AB72</f>
        <v>-12295.39611</v>
      </c>
      <c r="AC76" s="124">
        <f t="shared" si="45"/>
        <v>-5579.087337</v>
      </c>
      <c r="AD76" s="20"/>
    </row>
    <row r="77" hidden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hidden="1" min="2" max="2" width="14.44"/>
    <col customWidth="1" hidden="1" min="3" max="4" width="14.78"/>
    <col customWidth="1" hidden="1" min="5" max="5" width="13.0"/>
    <col customWidth="1" hidden="1" min="6" max="23" width="14.78"/>
    <col customWidth="1" hidden="1" min="24" max="27" width="13.44"/>
    <col customWidth="1" min="28" max="29" width="17.0"/>
    <col customWidth="1" min="30" max="30" width="10.78"/>
    <col customWidth="1" min="31" max="31" width="13.44"/>
    <col customWidth="1" min="32" max="33" width="10.78"/>
  </cols>
  <sheetData>
    <row r="1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  <c r="AE1" s="4"/>
      <c r="AF1" s="4"/>
      <c r="AG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125">
        <v>37036.0</v>
      </c>
      <c r="AC2" s="6"/>
      <c r="AD2" s="9"/>
      <c r="AE2" s="20"/>
      <c r="AF2" s="20"/>
      <c r="AG2" s="20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26">
        <v>0.0724</v>
      </c>
      <c r="AC3" s="6"/>
      <c r="AD3" s="9"/>
      <c r="AE3" s="20"/>
      <c r="AF3" s="20"/>
      <c r="AG3" s="20"/>
    </row>
    <row r="4">
      <c r="A4" s="12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127">
        <f>AB2*0.3</f>
        <v>11110.8</v>
      </c>
      <c r="AC4" s="6"/>
      <c r="AD4" s="14"/>
      <c r="AE4" s="20"/>
      <c r="AF4" s="20"/>
      <c r="AG4" s="20"/>
    </row>
    <row r="5">
      <c r="A5" s="12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28">
        <v>9000.0</v>
      </c>
      <c r="AC5" s="6"/>
      <c r="AD5" s="14"/>
      <c r="AE5" s="20"/>
      <c r="AF5" s="20"/>
      <c r="AG5" s="20"/>
    </row>
    <row r="6">
      <c r="A6" s="12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28">
        <f>600</f>
        <v>600</v>
      </c>
      <c r="AC6" s="6"/>
      <c r="AD6" s="14"/>
      <c r="AE6" s="20"/>
      <c r="AF6" s="20"/>
      <c r="AG6" s="20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 t="s">
        <v>9</v>
      </c>
      <c r="AC7" s="19" t="s">
        <v>10</v>
      </c>
      <c r="AD7" s="20"/>
      <c r="AE7" s="20"/>
      <c r="AF7" s="20"/>
      <c r="AG7" s="20"/>
    </row>
    <row r="8" hidden="1">
      <c r="A8" s="19" t="s">
        <v>11</v>
      </c>
      <c r="B8" s="21">
        <v>0.0</v>
      </c>
      <c r="C8" s="21">
        <v>1.0</v>
      </c>
      <c r="D8" s="21">
        <v>2.0</v>
      </c>
      <c r="E8" s="21">
        <v>3.0</v>
      </c>
      <c r="F8" s="21">
        <v>4.0</v>
      </c>
      <c r="G8" s="21">
        <v>5.0</v>
      </c>
      <c r="H8" s="21">
        <v>6.0</v>
      </c>
      <c r="I8" s="21">
        <v>7.0</v>
      </c>
      <c r="J8" s="21">
        <v>8.0</v>
      </c>
      <c r="K8" s="21">
        <v>9.0</v>
      </c>
      <c r="L8" s="21">
        <v>10.0</v>
      </c>
      <c r="M8" s="21">
        <v>11.0</v>
      </c>
      <c r="N8" s="21">
        <v>12.0</v>
      </c>
      <c r="O8" s="21">
        <v>13.0</v>
      </c>
      <c r="P8" s="21">
        <v>14.0</v>
      </c>
      <c r="Q8" s="21">
        <v>15.0</v>
      </c>
      <c r="R8" s="21">
        <v>16.0</v>
      </c>
      <c r="S8" s="21">
        <v>17.0</v>
      </c>
      <c r="T8" s="21">
        <v>18.0</v>
      </c>
      <c r="U8" s="21">
        <v>19.0</v>
      </c>
      <c r="V8" s="21">
        <v>20.0</v>
      </c>
      <c r="W8" s="21">
        <v>21.0</v>
      </c>
      <c r="X8" s="21">
        <v>22.0</v>
      </c>
      <c r="Y8" s="21">
        <v>23.0</v>
      </c>
      <c r="Z8" s="21">
        <v>24.0</v>
      </c>
      <c r="AA8" s="21">
        <v>25.0</v>
      </c>
      <c r="AB8" s="21"/>
      <c r="AC8" s="17"/>
      <c r="AD8" s="22"/>
      <c r="AE8" s="22"/>
      <c r="AF8" s="22"/>
      <c r="AG8" s="22"/>
    </row>
    <row r="9" hidden="1">
      <c r="A9" s="23" t="s">
        <v>12</v>
      </c>
      <c r="B9" s="21">
        <f>AB2-B11</f>
        <v>37036</v>
      </c>
      <c r="C9" s="21">
        <f t="shared" ref="C9:AA9" si="1">B9-C11</f>
        <v>36470.31545</v>
      </c>
      <c r="D9" s="21">
        <f t="shared" si="1"/>
        <v>35863.67533</v>
      </c>
      <c r="E9" s="21">
        <f t="shared" si="1"/>
        <v>35213.11447</v>
      </c>
      <c r="F9" s="21">
        <f t="shared" si="1"/>
        <v>34515.453</v>
      </c>
      <c r="G9" s="21">
        <f t="shared" si="1"/>
        <v>33767.28084</v>
      </c>
      <c r="H9" s="21">
        <f t="shared" si="1"/>
        <v>32964.94102</v>
      </c>
      <c r="I9" s="21">
        <f t="shared" si="1"/>
        <v>32104.5118</v>
      </c>
      <c r="J9" s="21">
        <f t="shared" si="1"/>
        <v>31181.7875</v>
      </c>
      <c r="K9" s="21">
        <f t="shared" si="1"/>
        <v>30192.25796</v>
      </c>
      <c r="L9" s="21">
        <f t="shared" si="1"/>
        <v>29131.08648</v>
      </c>
      <c r="M9" s="21">
        <f t="shared" si="1"/>
        <v>27993.08618</v>
      </c>
      <c r="N9" s="21">
        <f t="shared" si="1"/>
        <v>26772.69467</v>
      </c>
      <c r="O9" s="21">
        <f t="shared" si="1"/>
        <v>25463.94681</v>
      </c>
      <c r="P9" s="21">
        <f t="shared" si="1"/>
        <v>24060.4456</v>
      </c>
      <c r="Q9" s="21">
        <f t="shared" si="1"/>
        <v>22555.33091</v>
      </c>
      <c r="R9" s="21">
        <f t="shared" si="1"/>
        <v>20941.24591</v>
      </c>
      <c r="S9" s="21">
        <f t="shared" si="1"/>
        <v>19210.30116</v>
      </c>
      <c r="T9" s="21">
        <f t="shared" si="1"/>
        <v>17354.03601</v>
      </c>
      <c r="U9" s="21">
        <f t="shared" si="1"/>
        <v>15363.37726</v>
      </c>
      <c r="V9" s="21">
        <f t="shared" si="1"/>
        <v>13228.59482</v>
      </c>
      <c r="W9" s="21">
        <f t="shared" si="1"/>
        <v>10939.25413</v>
      </c>
      <c r="X9" s="21">
        <f t="shared" si="1"/>
        <v>8484.165173</v>
      </c>
      <c r="Y9" s="21">
        <f t="shared" si="1"/>
        <v>5851.327777</v>
      </c>
      <c r="Z9" s="21">
        <f t="shared" si="1"/>
        <v>3027.872953</v>
      </c>
      <c r="AA9" s="21">
        <f t="shared" si="1"/>
        <v>0</v>
      </c>
      <c r="AB9" s="21"/>
      <c r="AC9" s="17"/>
      <c r="AD9" s="22"/>
      <c r="AE9" s="22"/>
      <c r="AF9" s="22"/>
      <c r="AG9" s="22"/>
    </row>
    <row r="10">
      <c r="A10" s="23" t="s">
        <v>13</v>
      </c>
      <c r="B10" s="21">
        <v>0.0</v>
      </c>
      <c r="C10" s="21">
        <f t="shared" ref="C10:AA10" si="2">B9*$AB$3</f>
        <v>2681.4064</v>
      </c>
      <c r="D10" s="21">
        <f t="shared" si="2"/>
        <v>2640.450838</v>
      </c>
      <c r="E10" s="21">
        <f t="shared" si="2"/>
        <v>2596.530094</v>
      </c>
      <c r="F10" s="21">
        <f t="shared" si="2"/>
        <v>2549.429487</v>
      </c>
      <c r="G10" s="21">
        <f t="shared" si="2"/>
        <v>2498.918797</v>
      </c>
      <c r="H10" s="21">
        <f t="shared" si="2"/>
        <v>2444.751133</v>
      </c>
      <c r="I10" s="21">
        <f t="shared" si="2"/>
        <v>2386.66173</v>
      </c>
      <c r="J10" s="21">
        <f t="shared" si="2"/>
        <v>2324.366654</v>
      </c>
      <c r="K10" s="21">
        <f t="shared" si="2"/>
        <v>2257.561415</v>
      </c>
      <c r="L10" s="21">
        <f t="shared" si="2"/>
        <v>2185.919476</v>
      </c>
      <c r="M10" s="21">
        <f t="shared" si="2"/>
        <v>2109.090661</v>
      </c>
      <c r="N10" s="21">
        <f t="shared" si="2"/>
        <v>2026.69944</v>
      </c>
      <c r="O10" s="21">
        <f t="shared" si="2"/>
        <v>1938.343094</v>
      </c>
      <c r="P10" s="21">
        <f t="shared" si="2"/>
        <v>1843.589749</v>
      </c>
      <c r="Q10" s="21">
        <f t="shared" si="2"/>
        <v>1741.976261</v>
      </c>
      <c r="R10" s="21">
        <f t="shared" si="2"/>
        <v>1633.005958</v>
      </c>
      <c r="S10" s="21">
        <f t="shared" si="2"/>
        <v>1516.146204</v>
      </c>
      <c r="T10" s="21">
        <f t="shared" si="2"/>
        <v>1390.825804</v>
      </c>
      <c r="U10" s="21">
        <f t="shared" si="2"/>
        <v>1256.432207</v>
      </c>
      <c r="V10" s="21">
        <f t="shared" si="2"/>
        <v>1112.308514</v>
      </c>
      <c r="W10" s="21">
        <f t="shared" si="2"/>
        <v>957.7502649</v>
      </c>
      <c r="X10" s="21">
        <f t="shared" si="2"/>
        <v>792.0019989</v>
      </c>
      <c r="Y10" s="21">
        <f t="shared" si="2"/>
        <v>614.2535585</v>
      </c>
      <c r="Z10" s="21">
        <f t="shared" si="2"/>
        <v>423.636131</v>
      </c>
      <c r="AA10" s="21">
        <f t="shared" si="2"/>
        <v>219.2180018</v>
      </c>
      <c r="AB10" s="21">
        <f t="shared" ref="AB10:AB12" si="4">SUM(B10:AA10)</f>
        <v>44141.27387</v>
      </c>
      <c r="AC10" s="31">
        <f t="shared" ref="AC10:AC12" si="5">B10+NPV($AB$3, C10:AA10)</f>
        <v>23848.65025</v>
      </c>
      <c r="AD10" s="22"/>
      <c r="AE10" s="22"/>
      <c r="AF10" s="22"/>
      <c r="AG10" s="22"/>
    </row>
    <row r="11">
      <c r="A11" s="23" t="s">
        <v>14</v>
      </c>
      <c r="B11" s="21">
        <v>0.0</v>
      </c>
      <c r="C11" s="21">
        <f t="shared" ref="C11:AA11" si="3">IF(B9=0, 0, C12-C10)</f>
        <v>565.6845548</v>
      </c>
      <c r="D11" s="21">
        <f t="shared" si="3"/>
        <v>606.6401166</v>
      </c>
      <c r="E11" s="21">
        <f t="shared" si="3"/>
        <v>650.560861</v>
      </c>
      <c r="F11" s="21">
        <f t="shared" si="3"/>
        <v>697.6614673</v>
      </c>
      <c r="G11" s="21">
        <f t="shared" si="3"/>
        <v>748.1721576</v>
      </c>
      <c r="H11" s="21">
        <f t="shared" si="3"/>
        <v>802.3398218</v>
      </c>
      <c r="I11" s="21">
        <f t="shared" si="3"/>
        <v>860.4292249</v>
      </c>
      <c r="J11" s="21">
        <f t="shared" si="3"/>
        <v>922.7243008</v>
      </c>
      <c r="K11" s="21">
        <f t="shared" si="3"/>
        <v>989.5295401</v>
      </c>
      <c r="L11" s="21">
        <f t="shared" si="3"/>
        <v>1061.171479</v>
      </c>
      <c r="M11" s="21">
        <f t="shared" si="3"/>
        <v>1138.000294</v>
      </c>
      <c r="N11" s="21">
        <f t="shared" si="3"/>
        <v>1220.391515</v>
      </c>
      <c r="O11" s="21">
        <f t="shared" si="3"/>
        <v>1308.747861</v>
      </c>
      <c r="P11" s="21">
        <f t="shared" si="3"/>
        <v>1403.501206</v>
      </c>
      <c r="Q11" s="21">
        <f t="shared" si="3"/>
        <v>1505.114693</v>
      </c>
      <c r="R11" s="21">
        <f t="shared" si="3"/>
        <v>1614.084997</v>
      </c>
      <c r="S11" s="21">
        <f t="shared" si="3"/>
        <v>1730.944751</v>
      </c>
      <c r="T11" s="21">
        <f t="shared" si="3"/>
        <v>1856.265151</v>
      </c>
      <c r="U11" s="21">
        <f t="shared" si="3"/>
        <v>1990.658748</v>
      </c>
      <c r="V11" s="21">
        <f t="shared" si="3"/>
        <v>2134.782441</v>
      </c>
      <c r="W11" s="21">
        <f t="shared" si="3"/>
        <v>2289.34069</v>
      </c>
      <c r="X11" s="21">
        <f t="shared" si="3"/>
        <v>2455.088956</v>
      </c>
      <c r="Y11" s="21">
        <f t="shared" si="3"/>
        <v>2632.837396</v>
      </c>
      <c r="Z11" s="21">
        <f t="shared" si="3"/>
        <v>2823.454824</v>
      </c>
      <c r="AA11" s="21">
        <f t="shared" si="3"/>
        <v>3027.872953</v>
      </c>
      <c r="AB11" s="21">
        <f t="shared" si="4"/>
        <v>37036</v>
      </c>
      <c r="AC11" s="31">
        <f t="shared" si="5"/>
        <v>13187.34975</v>
      </c>
      <c r="AD11" s="22"/>
      <c r="AE11" s="22"/>
      <c r="AF11" s="22"/>
      <c r="AG11" s="22"/>
    </row>
    <row r="12">
      <c r="A12" s="23" t="s">
        <v>15</v>
      </c>
      <c r="B12" s="21">
        <f>B10+B11</f>
        <v>0</v>
      </c>
      <c r="C12" s="21">
        <f t="shared" ref="C12:AA12" si="6">ABS(PMT($AB$3,25,$B$9,0))</f>
        <v>3247.090955</v>
      </c>
      <c r="D12" s="21">
        <f t="shared" si="6"/>
        <v>3247.090955</v>
      </c>
      <c r="E12" s="21">
        <f t="shared" si="6"/>
        <v>3247.090955</v>
      </c>
      <c r="F12" s="21">
        <f t="shared" si="6"/>
        <v>3247.090955</v>
      </c>
      <c r="G12" s="21">
        <f t="shared" si="6"/>
        <v>3247.090955</v>
      </c>
      <c r="H12" s="21">
        <f t="shared" si="6"/>
        <v>3247.090955</v>
      </c>
      <c r="I12" s="21">
        <f t="shared" si="6"/>
        <v>3247.090955</v>
      </c>
      <c r="J12" s="21">
        <f t="shared" si="6"/>
        <v>3247.090955</v>
      </c>
      <c r="K12" s="21">
        <f t="shared" si="6"/>
        <v>3247.090955</v>
      </c>
      <c r="L12" s="21">
        <f t="shared" si="6"/>
        <v>3247.090955</v>
      </c>
      <c r="M12" s="21">
        <f t="shared" si="6"/>
        <v>3247.090955</v>
      </c>
      <c r="N12" s="21">
        <f t="shared" si="6"/>
        <v>3247.090955</v>
      </c>
      <c r="O12" s="21">
        <f t="shared" si="6"/>
        <v>3247.090955</v>
      </c>
      <c r="P12" s="21">
        <f t="shared" si="6"/>
        <v>3247.090955</v>
      </c>
      <c r="Q12" s="21">
        <f t="shared" si="6"/>
        <v>3247.090955</v>
      </c>
      <c r="R12" s="21">
        <f t="shared" si="6"/>
        <v>3247.090955</v>
      </c>
      <c r="S12" s="21">
        <f t="shared" si="6"/>
        <v>3247.090955</v>
      </c>
      <c r="T12" s="21">
        <f t="shared" si="6"/>
        <v>3247.090955</v>
      </c>
      <c r="U12" s="21">
        <f t="shared" si="6"/>
        <v>3247.090955</v>
      </c>
      <c r="V12" s="21">
        <f t="shared" si="6"/>
        <v>3247.090955</v>
      </c>
      <c r="W12" s="21">
        <f t="shared" si="6"/>
        <v>3247.090955</v>
      </c>
      <c r="X12" s="21">
        <f t="shared" si="6"/>
        <v>3247.090955</v>
      </c>
      <c r="Y12" s="21">
        <f t="shared" si="6"/>
        <v>3247.090955</v>
      </c>
      <c r="Z12" s="21">
        <f t="shared" si="6"/>
        <v>3247.090955</v>
      </c>
      <c r="AA12" s="21">
        <f t="shared" si="6"/>
        <v>3247.090955</v>
      </c>
      <c r="AB12" s="129">
        <f t="shared" si="4"/>
        <v>81177.27387</v>
      </c>
      <c r="AC12" s="130">
        <f t="shared" si="5"/>
        <v>37036</v>
      </c>
      <c r="AD12" s="22"/>
      <c r="AE12" s="22"/>
      <c r="AF12" s="22"/>
      <c r="AG12" s="22"/>
    </row>
    <row r="13" hidden="1">
      <c r="A13" s="27" t="s">
        <v>26</v>
      </c>
      <c r="B13" s="21">
        <v>0.0</v>
      </c>
      <c r="C13" s="21">
        <v>1762.0</v>
      </c>
      <c r="D13" s="21">
        <v>1806.0</v>
      </c>
      <c r="E13" s="21">
        <v>1851.0</v>
      </c>
      <c r="F13" s="21">
        <v>1898.0</v>
      </c>
      <c r="G13" s="21">
        <v>1945.0</v>
      </c>
      <c r="H13" s="21">
        <v>1994.0</v>
      </c>
      <c r="I13" s="21">
        <v>2043.0</v>
      </c>
      <c r="J13" s="21">
        <v>2095.0</v>
      </c>
      <c r="K13" s="21">
        <v>2147.0</v>
      </c>
      <c r="L13" s="21">
        <v>2201.0</v>
      </c>
      <c r="M13" s="21">
        <v>2256.0</v>
      </c>
      <c r="N13" s="21">
        <v>2312.0</v>
      </c>
      <c r="O13" s="21">
        <v>2370.0</v>
      </c>
      <c r="P13" s="21">
        <v>2429.0</v>
      </c>
      <c r="Q13" s="21">
        <v>2490.0</v>
      </c>
      <c r="R13" s="21">
        <v>2552.0</v>
      </c>
      <c r="S13" s="21">
        <v>2616.0</v>
      </c>
      <c r="T13" s="21">
        <v>2681.0</v>
      </c>
      <c r="U13" s="21">
        <v>2748.0</v>
      </c>
      <c r="V13" s="21">
        <v>2817.0</v>
      </c>
      <c r="W13" s="21">
        <v>2887.0</v>
      </c>
      <c r="X13" s="21">
        <v>2960.0</v>
      </c>
      <c r="Y13" s="21">
        <v>3034.0</v>
      </c>
      <c r="Z13" s="21">
        <v>3109.0</v>
      </c>
      <c r="AA13" s="21">
        <v>3187.0</v>
      </c>
      <c r="AB13" s="21"/>
      <c r="AC13" s="31">
        <f t="shared" ref="AC13:AC14" si="7">NPV($AB$3, C13:AA13)</f>
        <v>25168.5933</v>
      </c>
      <c r="AD13" s="22"/>
      <c r="AE13" s="22"/>
      <c r="AF13" s="22"/>
      <c r="AG13" s="22"/>
    </row>
    <row r="14" hidden="1">
      <c r="A14" s="27" t="s">
        <v>27</v>
      </c>
      <c r="B14" s="21">
        <v>0.0</v>
      </c>
      <c r="C14" s="21">
        <v>997.0</v>
      </c>
      <c r="D14" s="21">
        <v>1024.0</v>
      </c>
      <c r="E14" s="21">
        <v>1051.0</v>
      </c>
      <c r="F14" s="21">
        <v>1080.0</v>
      </c>
      <c r="G14" s="21">
        <v>1109.0</v>
      </c>
      <c r="H14" s="21">
        <v>1139.0</v>
      </c>
      <c r="I14" s="21">
        <v>1170.0</v>
      </c>
      <c r="J14" s="21">
        <v>1202.0</v>
      </c>
      <c r="K14" s="21">
        <v>1235.0</v>
      </c>
      <c r="L14" s="21">
        <v>1268.0</v>
      </c>
      <c r="M14" s="21">
        <v>1303.0</v>
      </c>
      <c r="N14" s="21">
        <v>1338.0</v>
      </c>
      <c r="O14" s="21">
        <v>1375.0</v>
      </c>
      <c r="P14" s="21">
        <v>1412.0</v>
      </c>
      <c r="Q14" s="21">
        <v>1450.0</v>
      </c>
      <c r="R14" s="21">
        <v>1490.0</v>
      </c>
      <c r="S14" s="21">
        <v>1531.0</v>
      </c>
      <c r="T14" s="21">
        <v>1572.0</v>
      </c>
      <c r="U14" s="21">
        <v>1615.0</v>
      </c>
      <c r="V14" s="21">
        <v>1659.0</v>
      </c>
      <c r="W14" s="21">
        <v>1704.0</v>
      </c>
      <c r="X14" s="21">
        <v>1751.0</v>
      </c>
      <c r="Y14" s="21">
        <v>1799.0</v>
      </c>
      <c r="Z14" s="21">
        <v>1848.0</v>
      </c>
      <c r="AA14" s="21">
        <v>1898.0</v>
      </c>
      <c r="AB14" s="21"/>
      <c r="AC14" s="31">
        <f t="shared" si="7"/>
        <v>14531.30298</v>
      </c>
      <c r="AD14" s="22"/>
      <c r="AE14" s="22"/>
      <c r="AF14" s="22"/>
      <c r="AG14" s="22"/>
    </row>
    <row r="15">
      <c r="A15" s="27" t="s">
        <v>23</v>
      </c>
      <c r="B15" s="21">
        <v>0.0</v>
      </c>
      <c r="C15" s="21">
        <f>C13-C14+$AB$6</f>
        <v>1365</v>
      </c>
      <c r="D15" s="21">
        <f t="shared" ref="D15:AA15" si="8">D13-D14</f>
        <v>782</v>
      </c>
      <c r="E15" s="21">
        <f t="shared" si="8"/>
        <v>800</v>
      </c>
      <c r="F15" s="21">
        <f t="shared" si="8"/>
        <v>818</v>
      </c>
      <c r="G15" s="21">
        <f t="shared" si="8"/>
        <v>836</v>
      </c>
      <c r="H15" s="21">
        <f t="shared" si="8"/>
        <v>855</v>
      </c>
      <c r="I15" s="21">
        <f t="shared" si="8"/>
        <v>873</v>
      </c>
      <c r="J15" s="21">
        <f t="shared" si="8"/>
        <v>893</v>
      </c>
      <c r="K15" s="21">
        <f t="shared" si="8"/>
        <v>912</v>
      </c>
      <c r="L15" s="21">
        <f t="shared" si="8"/>
        <v>933</v>
      </c>
      <c r="M15" s="21">
        <f t="shared" si="8"/>
        <v>953</v>
      </c>
      <c r="N15" s="21">
        <f t="shared" si="8"/>
        <v>974</v>
      </c>
      <c r="O15" s="21">
        <f t="shared" si="8"/>
        <v>995</v>
      </c>
      <c r="P15" s="21">
        <f t="shared" si="8"/>
        <v>1017</v>
      </c>
      <c r="Q15" s="21">
        <f t="shared" si="8"/>
        <v>1040</v>
      </c>
      <c r="R15" s="21">
        <f t="shared" si="8"/>
        <v>1062</v>
      </c>
      <c r="S15" s="21">
        <f t="shared" si="8"/>
        <v>1085</v>
      </c>
      <c r="T15" s="21">
        <f t="shared" si="8"/>
        <v>1109</v>
      </c>
      <c r="U15" s="21">
        <f t="shared" si="8"/>
        <v>1133</v>
      </c>
      <c r="V15" s="21">
        <f t="shared" si="8"/>
        <v>1158</v>
      </c>
      <c r="W15" s="21">
        <f t="shared" si="8"/>
        <v>1183</v>
      </c>
      <c r="X15" s="21">
        <f t="shared" si="8"/>
        <v>1209</v>
      </c>
      <c r="Y15" s="21">
        <f t="shared" si="8"/>
        <v>1235</v>
      </c>
      <c r="Z15" s="21">
        <f t="shared" si="8"/>
        <v>1261</v>
      </c>
      <c r="AA15" s="21">
        <f t="shared" si="8"/>
        <v>1289</v>
      </c>
      <c r="AB15" s="21">
        <f t="shared" ref="AB15:AB17" si="9">SUM(B15:AA15)</f>
        <v>25770</v>
      </c>
      <c r="AC15" s="31">
        <f t="shared" ref="AC15:AC17" si="10">B15+NPV($AB$3, C15:AA15)</f>
        <v>11196.78305</v>
      </c>
      <c r="AD15" s="22"/>
      <c r="AE15" s="22"/>
      <c r="AF15" s="22"/>
      <c r="AG15" s="22"/>
    </row>
    <row r="16">
      <c r="A16" s="29" t="s">
        <v>17</v>
      </c>
      <c r="B16" s="21">
        <v>0.0</v>
      </c>
      <c r="C16" s="21">
        <v>0.0</v>
      </c>
      <c r="D16" s="21">
        <v>0.0</v>
      </c>
      <c r="E16" s="21">
        <v>0.0</v>
      </c>
      <c r="F16" s="21">
        <v>0.0</v>
      </c>
      <c r="G16" s="21">
        <v>0.0</v>
      </c>
      <c r="H16" s="21">
        <v>0.0</v>
      </c>
      <c r="I16" s="21">
        <v>0.0</v>
      </c>
      <c r="J16" s="21">
        <v>0.0</v>
      </c>
      <c r="K16" s="21">
        <v>0.0</v>
      </c>
      <c r="L16" s="21">
        <v>0.0</v>
      </c>
      <c r="M16" s="21">
        <v>0.0</v>
      </c>
      <c r="N16" s="21">
        <v>0.0</v>
      </c>
      <c r="O16" s="21">
        <v>0.0</v>
      </c>
      <c r="P16" s="21">
        <v>0.0</v>
      </c>
      <c r="Q16" s="21">
        <v>0.0</v>
      </c>
      <c r="R16" s="21">
        <v>0.0</v>
      </c>
      <c r="S16" s="21">
        <v>0.0</v>
      </c>
      <c r="T16" s="21">
        <v>0.0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1">
        <v>0.0</v>
      </c>
      <c r="AA16" s="21">
        <v>0.0</v>
      </c>
      <c r="AB16" s="21">
        <f t="shared" si="9"/>
        <v>0</v>
      </c>
      <c r="AC16" s="31">
        <f t="shared" si="10"/>
        <v>0</v>
      </c>
      <c r="AD16" s="16"/>
      <c r="AE16" s="16"/>
      <c r="AF16" s="16"/>
      <c r="AG16" s="16"/>
    </row>
    <row r="17">
      <c r="A17" s="30" t="s">
        <v>18</v>
      </c>
      <c r="B17" s="31">
        <f t="shared" ref="B17:AA17" si="11">B15+B16</f>
        <v>0</v>
      </c>
      <c r="C17" s="31">
        <f t="shared" si="11"/>
        <v>1365</v>
      </c>
      <c r="D17" s="31">
        <f t="shared" si="11"/>
        <v>782</v>
      </c>
      <c r="E17" s="31">
        <f t="shared" si="11"/>
        <v>800</v>
      </c>
      <c r="F17" s="31">
        <f t="shared" si="11"/>
        <v>818</v>
      </c>
      <c r="G17" s="31">
        <f t="shared" si="11"/>
        <v>836</v>
      </c>
      <c r="H17" s="31">
        <f t="shared" si="11"/>
        <v>855</v>
      </c>
      <c r="I17" s="31">
        <f t="shared" si="11"/>
        <v>873</v>
      </c>
      <c r="J17" s="31">
        <f t="shared" si="11"/>
        <v>893</v>
      </c>
      <c r="K17" s="31">
        <f t="shared" si="11"/>
        <v>912</v>
      </c>
      <c r="L17" s="31">
        <f t="shared" si="11"/>
        <v>933</v>
      </c>
      <c r="M17" s="31">
        <f t="shared" si="11"/>
        <v>953</v>
      </c>
      <c r="N17" s="31">
        <f t="shared" si="11"/>
        <v>974</v>
      </c>
      <c r="O17" s="31">
        <f t="shared" si="11"/>
        <v>995</v>
      </c>
      <c r="P17" s="31">
        <f t="shared" si="11"/>
        <v>1017</v>
      </c>
      <c r="Q17" s="31">
        <f t="shared" si="11"/>
        <v>1040</v>
      </c>
      <c r="R17" s="31">
        <f t="shared" si="11"/>
        <v>1062</v>
      </c>
      <c r="S17" s="31">
        <f t="shared" si="11"/>
        <v>1085</v>
      </c>
      <c r="T17" s="31">
        <f t="shared" si="11"/>
        <v>1109</v>
      </c>
      <c r="U17" s="31">
        <f t="shared" si="11"/>
        <v>1133</v>
      </c>
      <c r="V17" s="31">
        <f t="shared" si="11"/>
        <v>1158</v>
      </c>
      <c r="W17" s="31">
        <f t="shared" si="11"/>
        <v>1183</v>
      </c>
      <c r="X17" s="31">
        <f t="shared" si="11"/>
        <v>1209</v>
      </c>
      <c r="Y17" s="31">
        <f t="shared" si="11"/>
        <v>1235</v>
      </c>
      <c r="Z17" s="31">
        <f t="shared" si="11"/>
        <v>1261</v>
      </c>
      <c r="AA17" s="31">
        <f t="shared" si="11"/>
        <v>1289</v>
      </c>
      <c r="AB17" s="129">
        <f t="shared" si="9"/>
        <v>25770</v>
      </c>
      <c r="AC17" s="130">
        <f t="shared" si="10"/>
        <v>11196.78305</v>
      </c>
      <c r="AD17" s="32"/>
      <c r="AE17" s="32"/>
      <c r="AF17" s="32"/>
      <c r="AG17" s="32"/>
    </row>
    <row r="18">
      <c r="A18" s="18" t="s">
        <v>19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31">
        <f t="shared" ref="AB18:AC18" si="12">AB17-AB12</f>
        <v>-55407.27387</v>
      </c>
      <c r="AC18" s="131">
        <f t="shared" si="12"/>
        <v>-25839.21695</v>
      </c>
      <c r="AD18" s="20"/>
      <c r="AE18" s="20"/>
      <c r="AF18" s="20"/>
      <c r="AG18" s="20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20"/>
      <c r="AE19" s="20"/>
      <c r="AF19" s="20"/>
      <c r="AG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>
      <c r="A21" s="39" t="s">
        <v>1</v>
      </c>
      <c r="B21" s="20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3">
        <v>37036.0</v>
      </c>
      <c r="AC21" s="40"/>
      <c r="AD21" s="20"/>
      <c r="AE21" s="20"/>
      <c r="AF21" s="20"/>
      <c r="AG21" s="20"/>
    </row>
    <row r="22">
      <c r="A22" s="39" t="s">
        <v>2</v>
      </c>
      <c r="B22" s="20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43">
        <v>0.0724</v>
      </c>
      <c r="AC22" s="40"/>
      <c r="AD22" s="20"/>
      <c r="AE22" s="20"/>
      <c r="AF22" s="20"/>
      <c r="AG22" s="20"/>
    </row>
    <row r="23">
      <c r="A23" s="44" t="s">
        <v>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34">
        <f>AB21*0.3</f>
        <v>11110.8</v>
      </c>
      <c r="AC23" s="40"/>
      <c r="AD23" s="20"/>
      <c r="AE23" s="20"/>
      <c r="AF23" s="20"/>
      <c r="AG23" s="20"/>
    </row>
    <row r="24">
      <c r="A24" s="44" t="s">
        <v>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35">
        <v>9000.0</v>
      </c>
      <c r="AC24" s="40"/>
      <c r="AD24" s="20"/>
      <c r="AE24" s="20"/>
      <c r="AF24" s="20"/>
      <c r="AG24" s="20"/>
    </row>
    <row r="25">
      <c r="A25" s="44" t="s">
        <v>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35">
        <f>600</f>
        <v>600</v>
      </c>
      <c r="AC25" s="40"/>
      <c r="AD25" s="20"/>
      <c r="AE25" s="20"/>
      <c r="AF25" s="20"/>
      <c r="AG25" s="20"/>
    </row>
    <row r="26">
      <c r="A26" s="136" t="s">
        <v>28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8"/>
      <c r="AC26" s="138"/>
      <c r="AD26" s="4"/>
      <c r="AE26" s="4"/>
      <c r="AF26" s="4"/>
      <c r="AG26" s="4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 t="s">
        <v>9</v>
      </c>
      <c r="AC27" s="50" t="s">
        <v>10</v>
      </c>
      <c r="AD27" s="20"/>
      <c r="AE27" s="20"/>
      <c r="AF27" s="20"/>
      <c r="AG27" s="20"/>
    </row>
    <row r="28" hidden="1">
      <c r="A28" s="50" t="s">
        <v>11</v>
      </c>
      <c r="B28" s="51">
        <v>0.0</v>
      </c>
      <c r="C28" s="51">
        <v>1.0</v>
      </c>
      <c r="D28" s="51">
        <v>2.0</v>
      </c>
      <c r="E28" s="51">
        <v>3.0</v>
      </c>
      <c r="F28" s="51">
        <v>4.0</v>
      </c>
      <c r="G28" s="51">
        <v>5.0</v>
      </c>
      <c r="H28" s="51">
        <v>6.0</v>
      </c>
      <c r="I28" s="51">
        <v>7.0</v>
      </c>
      <c r="J28" s="51">
        <v>8.0</v>
      </c>
      <c r="K28" s="51">
        <v>9.0</v>
      </c>
      <c r="L28" s="51">
        <v>10.0</v>
      </c>
      <c r="M28" s="51">
        <v>11.0</v>
      </c>
      <c r="N28" s="51">
        <v>12.0</v>
      </c>
      <c r="O28" s="51">
        <v>13.0</v>
      </c>
      <c r="P28" s="51">
        <v>14.0</v>
      </c>
      <c r="Q28" s="51">
        <v>15.0</v>
      </c>
      <c r="R28" s="51">
        <v>16.0</v>
      </c>
      <c r="S28" s="51">
        <v>17.0</v>
      </c>
      <c r="T28" s="51">
        <v>18.0</v>
      </c>
      <c r="U28" s="51">
        <v>19.0</v>
      </c>
      <c r="V28" s="51">
        <v>20.0</v>
      </c>
      <c r="W28" s="51">
        <v>21.0</v>
      </c>
      <c r="X28" s="51">
        <v>22.0</v>
      </c>
      <c r="Y28" s="51">
        <v>23.0</v>
      </c>
      <c r="Z28" s="51">
        <v>24.0</v>
      </c>
      <c r="AA28" s="51">
        <v>25.0</v>
      </c>
      <c r="AB28" s="51"/>
      <c r="AC28" s="48"/>
      <c r="AD28" s="22"/>
      <c r="AE28" s="22"/>
      <c r="AF28" s="22"/>
      <c r="AG28" s="22"/>
    </row>
    <row r="29" hidden="1">
      <c r="A29" s="52" t="s">
        <v>12</v>
      </c>
      <c r="B29" s="51">
        <f>AB21-B37</f>
        <v>16925.2</v>
      </c>
      <c r="C29" s="51">
        <f t="shared" ref="C29:AA29" si="13">B29-C31</f>
        <v>16666.68601</v>
      </c>
      <c r="D29" s="51">
        <f t="shared" si="13"/>
        <v>16389.4556</v>
      </c>
      <c r="E29" s="51">
        <f t="shared" si="13"/>
        <v>16092.15371</v>
      </c>
      <c r="F29" s="51">
        <f t="shared" si="13"/>
        <v>15773.32717</v>
      </c>
      <c r="G29" s="51">
        <f t="shared" si="13"/>
        <v>15431.41759</v>
      </c>
      <c r="H29" s="51">
        <f t="shared" si="13"/>
        <v>15064.75375</v>
      </c>
      <c r="I29" s="51">
        <f t="shared" si="13"/>
        <v>14671.54345</v>
      </c>
      <c r="J29" s="51">
        <f t="shared" si="13"/>
        <v>14249.86472</v>
      </c>
      <c r="K29" s="51">
        <f t="shared" si="13"/>
        <v>13797.65645</v>
      </c>
      <c r="L29" s="51">
        <f t="shared" si="13"/>
        <v>13312.70831</v>
      </c>
      <c r="M29" s="51">
        <f t="shared" si="13"/>
        <v>12792.64992</v>
      </c>
      <c r="N29" s="51">
        <f t="shared" si="13"/>
        <v>12234.9393</v>
      </c>
      <c r="O29" s="51">
        <f t="shared" si="13"/>
        <v>11636.85043</v>
      </c>
      <c r="P29" s="51">
        <f t="shared" si="13"/>
        <v>10995.45993</v>
      </c>
      <c r="Q29" s="51">
        <f t="shared" si="13"/>
        <v>10307.63275</v>
      </c>
      <c r="R29" s="51">
        <f t="shared" si="13"/>
        <v>9570.006893</v>
      </c>
      <c r="S29" s="51">
        <f t="shared" si="13"/>
        <v>8778.976919</v>
      </c>
      <c r="T29" s="51">
        <f t="shared" si="13"/>
        <v>7930.676375</v>
      </c>
      <c r="U29" s="51">
        <f t="shared" si="13"/>
        <v>7020.958872</v>
      </c>
      <c r="V29" s="51">
        <f t="shared" si="13"/>
        <v>6045.377822</v>
      </c>
      <c r="W29" s="51">
        <f t="shared" si="13"/>
        <v>4999.164704</v>
      </c>
      <c r="X29" s="51">
        <f t="shared" si="13"/>
        <v>3877.205756</v>
      </c>
      <c r="Y29" s="51">
        <f t="shared" si="13"/>
        <v>2674.01698</v>
      </c>
      <c r="Z29" s="51">
        <f t="shared" si="13"/>
        <v>1383.717337</v>
      </c>
      <c r="AA29" s="51">
        <f t="shared" si="13"/>
        <v>0</v>
      </c>
      <c r="AB29" s="51"/>
      <c r="AC29" s="48"/>
      <c r="AD29" s="22"/>
      <c r="AE29" s="22"/>
      <c r="AF29" s="22"/>
      <c r="AG29" s="22"/>
    </row>
    <row r="30">
      <c r="A30" s="53" t="s">
        <v>13</v>
      </c>
      <c r="B30" s="51">
        <v>0.0</v>
      </c>
      <c r="C30" s="51">
        <f t="shared" ref="C30:AA30" si="14">B29*$AB$22</f>
        <v>1225.38448</v>
      </c>
      <c r="D30" s="51">
        <f t="shared" si="14"/>
        <v>1206.668067</v>
      </c>
      <c r="E30" s="51">
        <f t="shared" si="14"/>
        <v>1186.596586</v>
      </c>
      <c r="F30" s="51">
        <f t="shared" si="14"/>
        <v>1165.071929</v>
      </c>
      <c r="G30" s="51">
        <f t="shared" si="14"/>
        <v>1141.988887</v>
      </c>
      <c r="H30" s="51">
        <f t="shared" si="14"/>
        <v>1117.234633</v>
      </c>
      <c r="I30" s="51">
        <f t="shared" si="14"/>
        <v>1090.688171</v>
      </c>
      <c r="J30" s="51">
        <f t="shared" si="14"/>
        <v>1062.219745</v>
      </c>
      <c r="K30" s="51">
        <f t="shared" si="14"/>
        <v>1031.690206</v>
      </c>
      <c r="L30" s="51">
        <f t="shared" si="14"/>
        <v>998.9503271</v>
      </c>
      <c r="M30" s="51">
        <f t="shared" si="14"/>
        <v>963.8400814</v>
      </c>
      <c r="N30" s="51">
        <f t="shared" si="14"/>
        <v>926.1878538</v>
      </c>
      <c r="O30" s="51">
        <f t="shared" si="14"/>
        <v>885.8096051</v>
      </c>
      <c r="P30" s="51">
        <f t="shared" si="14"/>
        <v>842.5079711</v>
      </c>
      <c r="Q30" s="51">
        <f t="shared" si="14"/>
        <v>796.0712987</v>
      </c>
      <c r="R30" s="51">
        <f t="shared" si="14"/>
        <v>746.2726114</v>
      </c>
      <c r="S30" s="51">
        <f t="shared" si="14"/>
        <v>692.868499</v>
      </c>
      <c r="T30" s="51">
        <f t="shared" si="14"/>
        <v>635.5979289</v>
      </c>
      <c r="U30" s="51">
        <f t="shared" si="14"/>
        <v>574.1809696</v>
      </c>
      <c r="V30" s="51">
        <f t="shared" si="14"/>
        <v>508.3174224</v>
      </c>
      <c r="W30" s="51">
        <f t="shared" si="14"/>
        <v>437.6853543</v>
      </c>
      <c r="X30" s="51">
        <f t="shared" si="14"/>
        <v>361.9395246</v>
      </c>
      <c r="Y30" s="51">
        <f t="shared" si="14"/>
        <v>280.7096967</v>
      </c>
      <c r="Z30" s="51">
        <f t="shared" si="14"/>
        <v>193.5988294</v>
      </c>
      <c r="AA30" s="51">
        <f t="shared" si="14"/>
        <v>100.1811352</v>
      </c>
      <c r="AB30" s="51">
        <f t="shared" ref="AB30:AB32" si="16">SUM(B30:AA30)</f>
        <v>20172.26181</v>
      </c>
      <c r="AC30" s="139">
        <f t="shared" ref="AC30:AC32" si="17">B30+NPV($AB$3, C30:AA30)</f>
        <v>10898.67089</v>
      </c>
      <c r="AD30" s="22"/>
      <c r="AE30" s="22"/>
      <c r="AF30" s="22"/>
      <c r="AG30" s="22"/>
    </row>
    <row r="31">
      <c r="A31" s="53" t="s">
        <v>14</v>
      </c>
      <c r="B31" s="51">
        <v>0.0</v>
      </c>
      <c r="C31" s="51">
        <f t="shared" ref="C31:AA31" si="15">IF(B29=0, 0, C32-C30)</f>
        <v>258.5139925</v>
      </c>
      <c r="D31" s="51">
        <f t="shared" si="15"/>
        <v>277.2304056</v>
      </c>
      <c r="E31" s="51">
        <f t="shared" si="15"/>
        <v>297.3018869</v>
      </c>
      <c r="F31" s="51">
        <f t="shared" si="15"/>
        <v>318.8265436</v>
      </c>
      <c r="G31" s="51">
        <f t="shared" si="15"/>
        <v>341.9095853</v>
      </c>
      <c r="H31" s="51">
        <f t="shared" si="15"/>
        <v>366.6638393</v>
      </c>
      <c r="I31" s="51">
        <f t="shared" si="15"/>
        <v>393.2103012</v>
      </c>
      <c r="J31" s="51">
        <f t="shared" si="15"/>
        <v>421.6787271</v>
      </c>
      <c r="K31" s="51">
        <f t="shared" si="15"/>
        <v>452.2082669</v>
      </c>
      <c r="L31" s="51">
        <f t="shared" si="15"/>
        <v>484.9481454</v>
      </c>
      <c r="M31" s="51">
        <f t="shared" si="15"/>
        <v>520.0583912</v>
      </c>
      <c r="N31" s="51">
        <f t="shared" si="15"/>
        <v>557.7106187</v>
      </c>
      <c r="O31" s="51">
        <f t="shared" si="15"/>
        <v>598.0888675</v>
      </c>
      <c r="P31" s="51">
        <f t="shared" si="15"/>
        <v>641.3905015</v>
      </c>
      <c r="Q31" s="51">
        <f t="shared" si="15"/>
        <v>687.8271738</v>
      </c>
      <c r="R31" s="51">
        <f t="shared" si="15"/>
        <v>737.6258612</v>
      </c>
      <c r="S31" s="51">
        <f t="shared" si="15"/>
        <v>791.0299735</v>
      </c>
      <c r="T31" s="51">
        <f t="shared" si="15"/>
        <v>848.3005436</v>
      </c>
      <c r="U31" s="51">
        <f t="shared" si="15"/>
        <v>909.7175029</v>
      </c>
      <c r="V31" s="51">
        <f t="shared" si="15"/>
        <v>975.5810502</v>
      </c>
      <c r="W31" s="51">
        <f t="shared" si="15"/>
        <v>1046.213118</v>
      </c>
      <c r="X31" s="51">
        <f t="shared" si="15"/>
        <v>1121.958948</v>
      </c>
      <c r="Y31" s="51">
        <f t="shared" si="15"/>
        <v>1203.188776</v>
      </c>
      <c r="Z31" s="51">
        <f t="shared" si="15"/>
        <v>1290.299643</v>
      </c>
      <c r="AA31" s="51">
        <f t="shared" si="15"/>
        <v>1383.717337</v>
      </c>
      <c r="AB31" s="51">
        <f t="shared" si="16"/>
        <v>16925.2</v>
      </c>
      <c r="AC31" s="139">
        <f t="shared" si="17"/>
        <v>6026.529106</v>
      </c>
      <c r="AD31" s="22"/>
      <c r="AE31" s="22"/>
      <c r="AF31" s="22"/>
      <c r="AG31" s="22"/>
    </row>
    <row r="32">
      <c r="A32" s="52" t="s">
        <v>15</v>
      </c>
      <c r="B32" s="51">
        <f>B30+B31</f>
        <v>0</v>
      </c>
      <c r="C32" s="51">
        <f t="shared" ref="C32:AA32" si="18">ABS(PMT($AB$22,25,$B$29,0))</f>
        <v>1483.898473</v>
      </c>
      <c r="D32" s="51">
        <f t="shared" si="18"/>
        <v>1483.898473</v>
      </c>
      <c r="E32" s="51">
        <f t="shared" si="18"/>
        <v>1483.898473</v>
      </c>
      <c r="F32" s="51">
        <f t="shared" si="18"/>
        <v>1483.898473</v>
      </c>
      <c r="G32" s="51">
        <f t="shared" si="18"/>
        <v>1483.898473</v>
      </c>
      <c r="H32" s="51">
        <f t="shared" si="18"/>
        <v>1483.898473</v>
      </c>
      <c r="I32" s="51">
        <f t="shared" si="18"/>
        <v>1483.898473</v>
      </c>
      <c r="J32" s="51">
        <f t="shared" si="18"/>
        <v>1483.898473</v>
      </c>
      <c r="K32" s="51">
        <f t="shared" si="18"/>
        <v>1483.898473</v>
      </c>
      <c r="L32" s="51">
        <f t="shared" si="18"/>
        <v>1483.898473</v>
      </c>
      <c r="M32" s="51">
        <f t="shared" si="18"/>
        <v>1483.898473</v>
      </c>
      <c r="N32" s="51">
        <f t="shared" si="18"/>
        <v>1483.898473</v>
      </c>
      <c r="O32" s="51">
        <f t="shared" si="18"/>
        <v>1483.898473</v>
      </c>
      <c r="P32" s="51">
        <f t="shared" si="18"/>
        <v>1483.898473</v>
      </c>
      <c r="Q32" s="51">
        <f t="shared" si="18"/>
        <v>1483.898473</v>
      </c>
      <c r="R32" s="51">
        <f t="shared" si="18"/>
        <v>1483.898473</v>
      </c>
      <c r="S32" s="51">
        <f t="shared" si="18"/>
        <v>1483.898473</v>
      </c>
      <c r="T32" s="51">
        <f t="shared" si="18"/>
        <v>1483.898473</v>
      </c>
      <c r="U32" s="51">
        <f t="shared" si="18"/>
        <v>1483.898473</v>
      </c>
      <c r="V32" s="51">
        <f t="shared" si="18"/>
        <v>1483.898473</v>
      </c>
      <c r="W32" s="51">
        <f t="shared" si="18"/>
        <v>1483.898473</v>
      </c>
      <c r="X32" s="51">
        <f t="shared" si="18"/>
        <v>1483.898473</v>
      </c>
      <c r="Y32" s="51">
        <f t="shared" si="18"/>
        <v>1483.898473</v>
      </c>
      <c r="Z32" s="51">
        <f t="shared" si="18"/>
        <v>1483.898473</v>
      </c>
      <c r="AA32" s="51">
        <f t="shared" si="18"/>
        <v>1483.898473</v>
      </c>
      <c r="AB32" s="140">
        <f t="shared" si="16"/>
        <v>37097.46181</v>
      </c>
      <c r="AC32" s="141">
        <f t="shared" si="17"/>
        <v>16925.2</v>
      </c>
      <c r="AD32" s="22"/>
      <c r="AE32" s="22"/>
      <c r="AF32" s="22"/>
      <c r="AG32" s="22"/>
    </row>
    <row r="33" hidden="1">
      <c r="A33" s="66" t="s">
        <v>26</v>
      </c>
      <c r="B33" s="51">
        <v>0.0</v>
      </c>
      <c r="C33" s="51">
        <v>1762.0</v>
      </c>
      <c r="D33" s="51">
        <v>1806.0</v>
      </c>
      <c r="E33" s="51">
        <v>1851.0</v>
      </c>
      <c r="F33" s="51">
        <v>1898.0</v>
      </c>
      <c r="G33" s="51">
        <v>1945.0</v>
      </c>
      <c r="H33" s="51">
        <v>1994.0</v>
      </c>
      <c r="I33" s="51">
        <v>2043.0</v>
      </c>
      <c r="J33" s="51">
        <v>2095.0</v>
      </c>
      <c r="K33" s="51">
        <v>2147.0</v>
      </c>
      <c r="L33" s="51">
        <v>2201.0</v>
      </c>
      <c r="M33" s="51">
        <v>2256.0</v>
      </c>
      <c r="N33" s="51">
        <v>2312.0</v>
      </c>
      <c r="O33" s="51">
        <v>2370.0</v>
      </c>
      <c r="P33" s="51">
        <v>2429.0</v>
      </c>
      <c r="Q33" s="51">
        <v>2490.0</v>
      </c>
      <c r="R33" s="51">
        <v>2552.0</v>
      </c>
      <c r="S33" s="51">
        <v>2616.0</v>
      </c>
      <c r="T33" s="51">
        <v>2681.0</v>
      </c>
      <c r="U33" s="51">
        <v>2748.0</v>
      </c>
      <c r="V33" s="51">
        <v>2817.0</v>
      </c>
      <c r="W33" s="51">
        <v>2887.0</v>
      </c>
      <c r="X33" s="51">
        <v>2960.0</v>
      </c>
      <c r="Y33" s="51">
        <v>3034.0</v>
      </c>
      <c r="Z33" s="51">
        <v>3109.0</v>
      </c>
      <c r="AA33" s="51">
        <v>3187.0</v>
      </c>
      <c r="AB33" s="51"/>
      <c r="AC33" s="139">
        <f t="shared" ref="AC33:AC34" si="19">NPV($AB$3, C33:AA33)</f>
        <v>25168.5933</v>
      </c>
      <c r="AD33" s="22"/>
      <c r="AE33" s="22"/>
      <c r="AF33" s="22"/>
      <c r="AG33" s="22"/>
    </row>
    <row r="34" hidden="1">
      <c r="A34" s="66" t="s">
        <v>27</v>
      </c>
      <c r="B34" s="51">
        <v>0.0</v>
      </c>
      <c r="C34" s="51">
        <v>997.0</v>
      </c>
      <c r="D34" s="51">
        <v>1024.0</v>
      </c>
      <c r="E34" s="51">
        <v>1051.0</v>
      </c>
      <c r="F34" s="51">
        <v>1080.0</v>
      </c>
      <c r="G34" s="51">
        <v>1109.0</v>
      </c>
      <c r="H34" s="51">
        <v>1139.0</v>
      </c>
      <c r="I34" s="51">
        <v>1170.0</v>
      </c>
      <c r="J34" s="51">
        <v>1202.0</v>
      </c>
      <c r="K34" s="51">
        <v>1235.0</v>
      </c>
      <c r="L34" s="51">
        <v>1268.0</v>
      </c>
      <c r="M34" s="51">
        <v>1303.0</v>
      </c>
      <c r="N34" s="51">
        <v>1338.0</v>
      </c>
      <c r="O34" s="51">
        <v>1375.0</v>
      </c>
      <c r="P34" s="51">
        <v>1412.0</v>
      </c>
      <c r="Q34" s="51">
        <v>1450.0</v>
      </c>
      <c r="R34" s="51">
        <v>1490.0</v>
      </c>
      <c r="S34" s="51">
        <v>1531.0</v>
      </c>
      <c r="T34" s="51">
        <v>1572.0</v>
      </c>
      <c r="U34" s="51">
        <v>1615.0</v>
      </c>
      <c r="V34" s="51">
        <v>1659.0</v>
      </c>
      <c r="W34" s="51">
        <v>1704.0</v>
      </c>
      <c r="X34" s="51">
        <v>1751.0</v>
      </c>
      <c r="Y34" s="51">
        <v>1799.0</v>
      </c>
      <c r="Z34" s="51">
        <v>1848.0</v>
      </c>
      <c r="AA34" s="51">
        <v>1898.0</v>
      </c>
      <c r="AB34" s="51"/>
      <c r="AC34" s="139">
        <f t="shared" si="19"/>
        <v>14531.30298</v>
      </c>
      <c r="AD34" s="22"/>
      <c r="AE34" s="22"/>
      <c r="AF34" s="22"/>
      <c r="AG34" s="22"/>
    </row>
    <row r="35">
      <c r="A35" s="57" t="s">
        <v>23</v>
      </c>
      <c r="B35" s="51">
        <v>0.0</v>
      </c>
      <c r="C35" s="51">
        <f t="shared" ref="C35:AA35" si="20">C33-C34</f>
        <v>765</v>
      </c>
      <c r="D35" s="51">
        <f t="shared" si="20"/>
        <v>782</v>
      </c>
      <c r="E35" s="51">
        <f t="shared" si="20"/>
        <v>800</v>
      </c>
      <c r="F35" s="51">
        <f t="shared" si="20"/>
        <v>818</v>
      </c>
      <c r="G35" s="51">
        <f t="shared" si="20"/>
        <v>836</v>
      </c>
      <c r="H35" s="51">
        <f t="shared" si="20"/>
        <v>855</v>
      </c>
      <c r="I35" s="51">
        <f t="shared" si="20"/>
        <v>873</v>
      </c>
      <c r="J35" s="51">
        <f t="shared" si="20"/>
        <v>893</v>
      </c>
      <c r="K35" s="51">
        <f t="shared" si="20"/>
        <v>912</v>
      </c>
      <c r="L35" s="51">
        <f t="shared" si="20"/>
        <v>933</v>
      </c>
      <c r="M35" s="51">
        <f t="shared" si="20"/>
        <v>953</v>
      </c>
      <c r="N35" s="51">
        <f t="shared" si="20"/>
        <v>974</v>
      </c>
      <c r="O35" s="51">
        <f t="shared" si="20"/>
        <v>995</v>
      </c>
      <c r="P35" s="51">
        <f t="shared" si="20"/>
        <v>1017</v>
      </c>
      <c r="Q35" s="51">
        <f t="shared" si="20"/>
        <v>1040</v>
      </c>
      <c r="R35" s="51">
        <f t="shared" si="20"/>
        <v>1062</v>
      </c>
      <c r="S35" s="51">
        <f t="shared" si="20"/>
        <v>1085</v>
      </c>
      <c r="T35" s="51">
        <f t="shared" si="20"/>
        <v>1109</v>
      </c>
      <c r="U35" s="51">
        <f t="shared" si="20"/>
        <v>1133</v>
      </c>
      <c r="V35" s="51">
        <f t="shared" si="20"/>
        <v>1158</v>
      </c>
      <c r="W35" s="51">
        <f t="shared" si="20"/>
        <v>1183</v>
      </c>
      <c r="X35" s="51">
        <f t="shared" si="20"/>
        <v>1209</v>
      </c>
      <c r="Y35" s="51">
        <f t="shared" si="20"/>
        <v>1235</v>
      </c>
      <c r="Z35" s="51">
        <f t="shared" si="20"/>
        <v>1261</v>
      </c>
      <c r="AA35" s="51">
        <f t="shared" si="20"/>
        <v>1289</v>
      </c>
      <c r="AB35" s="51">
        <f t="shared" ref="AB35:AB37" si="22">SUM(B35:AA35)</f>
        <v>25170</v>
      </c>
      <c r="AC35" s="139">
        <f t="shared" ref="AC35:AC37" si="23">B35+NPV($AB$3, C35:AA35)</f>
        <v>10637.29032</v>
      </c>
      <c r="AD35" s="22"/>
      <c r="AE35" s="22"/>
      <c r="AF35" s="22"/>
      <c r="AG35" s="22"/>
    </row>
    <row r="36">
      <c r="A36" s="58" t="s">
        <v>17</v>
      </c>
      <c r="B36" s="51">
        <f>AB23+AB24</f>
        <v>20110.8</v>
      </c>
      <c r="C36" s="51">
        <f t="shared" ref="C36:AA36" si="21">$AB$6</f>
        <v>600</v>
      </c>
      <c r="D36" s="51">
        <f t="shared" si="21"/>
        <v>600</v>
      </c>
      <c r="E36" s="51">
        <f t="shared" si="21"/>
        <v>600</v>
      </c>
      <c r="F36" s="51">
        <f t="shared" si="21"/>
        <v>600</v>
      </c>
      <c r="G36" s="51">
        <f t="shared" si="21"/>
        <v>600</v>
      </c>
      <c r="H36" s="51">
        <f t="shared" si="21"/>
        <v>600</v>
      </c>
      <c r="I36" s="51">
        <f t="shared" si="21"/>
        <v>600</v>
      </c>
      <c r="J36" s="51">
        <f t="shared" si="21"/>
        <v>600</v>
      </c>
      <c r="K36" s="51">
        <f t="shared" si="21"/>
        <v>600</v>
      </c>
      <c r="L36" s="51">
        <f t="shared" si="21"/>
        <v>600</v>
      </c>
      <c r="M36" s="51">
        <f t="shared" si="21"/>
        <v>600</v>
      </c>
      <c r="N36" s="51">
        <f t="shared" si="21"/>
        <v>600</v>
      </c>
      <c r="O36" s="51">
        <f t="shared" si="21"/>
        <v>600</v>
      </c>
      <c r="P36" s="51">
        <f t="shared" si="21"/>
        <v>600</v>
      </c>
      <c r="Q36" s="51">
        <f t="shared" si="21"/>
        <v>600</v>
      </c>
      <c r="R36" s="51">
        <f t="shared" si="21"/>
        <v>600</v>
      </c>
      <c r="S36" s="51">
        <f t="shared" si="21"/>
        <v>600</v>
      </c>
      <c r="T36" s="51">
        <f t="shared" si="21"/>
        <v>600</v>
      </c>
      <c r="U36" s="51">
        <f t="shared" si="21"/>
        <v>600</v>
      </c>
      <c r="V36" s="51">
        <f t="shared" si="21"/>
        <v>600</v>
      </c>
      <c r="W36" s="51">
        <f t="shared" si="21"/>
        <v>600</v>
      </c>
      <c r="X36" s="51">
        <f t="shared" si="21"/>
        <v>600</v>
      </c>
      <c r="Y36" s="51">
        <f t="shared" si="21"/>
        <v>600</v>
      </c>
      <c r="Z36" s="51">
        <f t="shared" si="21"/>
        <v>600</v>
      </c>
      <c r="AA36" s="51">
        <f t="shared" si="21"/>
        <v>600</v>
      </c>
      <c r="AB36" s="51">
        <f t="shared" si="22"/>
        <v>35110.8</v>
      </c>
      <c r="AC36" s="139">
        <f t="shared" si="23"/>
        <v>26954.34098</v>
      </c>
      <c r="AD36" s="16"/>
      <c r="AE36" s="16"/>
      <c r="AF36" s="16"/>
      <c r="AG36" s="16"/>
    </row>
    <row r="37">
      <c r="A37" s="60" t="s">
        <v>21</v>
      </c>
      <c r="B37" s="139">
        <f t="shared" ref="B37:AA37" si="24">B35+B36</f>
        <v>20110.8</v>
      </c>
      <c r="C37" s="139">
        <f t="shared" si="24"/>
        <v>1365</v>
      </c>
      <c r="D37" s="139">
        <f t="shared" si="24"/>
        <v>1382</v>
      </c>
      <c r="E37" s="139">
        <f t="shared" si="24"/>
        <v>1400</v>
      </c>
      <c r="F37" s="139">
        <f t="shared" si="24"/>
        <v>1418</v>
      </c>
      <c r="G37" s="139">
        <f t="shared" si="24"/>
        <v>1436</v>
      </c>
      <c r="H37" s="139">
        <f t="shared" si="24"/>
        <v>1455</v>
      </c>
      <c r="I37" s="139">
        <f t="shared" si="24"/>
        <v>1473</v>
      </c>
      <c r="J37" s="139">
        <f t="shared" si="24"/>
        <v>1493</v>
      </c>
      <c r="K37" s="139">
        <f t="shared" si="24"/>
        <v>1512</v>
      </c>
      <c r="L37" s="139">
        <f t="shared" si="24"/>
        <v>1533</v>
      </c>
      <c r="M37" s="139">
        <f t="shared" si="24"/>
        <v>1553</v>
      </c>
      <c r="N37" s="139">
        <f t="shared" si="24"/>
        <v>1574</v>
      </c>
      <c r="O37" s="139">
        <f t="shared" si="24"/>
        <v>1595</v>
      </c>
      <c r="P37" s="139">
        <f t="shared" si="24"/>
        <v>1617</v>
      </c>
      <c r="Q37" s="139">
        <f t="shared" si="24"/>
        <v>1640</v>
      </c>
      <c r="R37" s="139">
        <f t="shared" si="24"/>
        <v>1662</v>
      </c>
      <c r="S37" s="139">
        <f t="shared" si="24"/>
        <v>1685</v>
      </c>
      <c r="T37" s="139">
        <f t="shared" si="24"/>
        <v>1709</v>
      </c>
      <c r="U37" s="139">
        <f t="shared" si="24"/>
        <v>1733</v>
      </c>
      <c r="V37" s="139">
        <f t="shared" si="24"/>
        <v>1758</v>
      </c>
      <c r="W37" s="139">
        <f t="shared" si="24"/>
        <v>1783</v>
      </c>
      <c r="X37" s="139">
        <f t="shared" si="24"/>
        <v>1809</v>
      </c>
      <c r="Y37" s="139">
        <f t="shared" si="24"/>
        <v>1835</v>
      </c>
      <c r="Z37" s="139">
        <f t="shared" si="24"/>
        <v>1861</v>
      </c>
      <c r="AA37" s="139">
        <f t="shared" si="24"/>
        <v>1889</v>
      </c>
      <c r="AB37" s="140">
        <f t="shared" si="22"/>
        <v>60280.8</v>
      </c>
      <c r="AC37" s="141">
        <f t="shared" si="23"/>
        <v>37591.63129</v>
      </c>
      <c r="AD37" s="32"/>
      <c r="AE37" s="32"/>
      <c r="AF37" s="32"/>
      <c r="AG37" s="32"/>
    </row>
    <row r="38">
      <c r="A38" s="49" t="s">
        <v>19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142">
        <f t="shared" ref="AB38:AC38" si="25">AB37-AB32</f>
        <v>23183.33819</v>
      </c>
      <c r="AC38" s="142">
        <f t="shared" si="25"/>
        <v>20666.43129</v>
      </c>
      <c r="AD38" s="20"/>
      <c r="AE38" s="20"/>
      <c r="AF38" s="20"/>
      <c r="AG38" s="20"/>
    </row>
    <row r="39">
      <c r="A39" s="6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9"/>
      <c r="AC39" s="69"/>
      <c r="AD39" s="20"/>
      <c r="AE39" s="20"/>
      <c r="AF39" s="20"/>
      <c r="AG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143"/>
      <c r="AG40" s="144"/>
    </row>
    <row r="41">
      <c r="A41" s="73" t="s">
        <v>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76">
        <f>21550 +13107 +671</f>
        <v>35328</v>
      </c>
      <c r="AC41" s="75"/>
      <c r="AD41" s="20"/>
      <c r="AE41" s="20"/>
      <c r="AF41" s="143"/>
      <c r="AG41" s="145"/>
    </row>
    <row r="42">
      <c r="A42" s="73" t="s">
        <v>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77">
        <v>0.0724</v>
      </c>
      <c r="AC42" s="75"/>
      <c r="AD42" s="20"/>
      <c r="AE42" s="20"/>
      <c r="AF42" s="146"/>
      <c r="AG42" s="147"/>
    </row>
    <row r="43">
      <c r="A43" s="148" t="s">
        <v>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49">
        <f>AB41*0.3</f>
        <v>10598.4</v>
      </c>
      <c r="AC43" s="75"/>
      <c r="AD43" s="20"/>
      <c r="AE43" s="20"/>
      <c r="AF43" s="146"/>
      <c r="AG43" s="150"/>
    </row>
    <row r="44">
      <c r="A44" s="148" t="s">
        <v>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51">
        <v>9000.0</v>
      </c>
      <c r="AC44" s="75"/>
      <c r="AD44" s="20"/>
      <c r="AE44" s="20"/>
      <c r="AF44" s="146"/>
      <c r="AG44" s="150"/>
    </row>
    <row r="45">
      <c r="A45" s="148" t="s">
        <v>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51">
        <v>600.0</v>
      </c>
      <c r="AC45" s="75"/>
      <c r="AD45" s="20"/>
      <c r="AE45" s="20"/>
      <c r="AF45" s="20"/>
      <c r="AG45" s="20"/>
    </row>
    <row r="46">
      <c r="A46" s="152" t="s">
        <v>22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4"/>
      <c r="AC46" s="154"/>
      <c r="AD46" s="20"/>
      <c r="AE46" s="20"/>
      <c r="AF46" s="20"/>
      <c r="AG46" s="20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3" t="s">
        <v>9</v>
      </c>
      <c r="AC47" s="84" t="s">
        <v>10</v>
      </c>
      <c r="AD47" s="20"/>
      <c r="AE47" s="20"/>
      <c r="AF47" s="20"/>
      <c r="AG47" s="20"/>
    </row>
    <row r="48" hidden="1">
      <c r="A48" s="84" t="s">
        <v>11</v>
      </c>
      <c r="B48" s="85">
        <v>0.0</v>
      </c>
      <c r="C48" s="85">
        <v>1.0</v>
      </c>
      <c r="D48" s="85">
        <v>2.0</v>
      </c>
      <c r="E48" s="85">
        <v>3.0</v>
      </c>
      <c r="F48" s="85">
        <v>4.0</v>
      </c>
      <c r="G48" s="85">
        <v>5.0</v>
      </c>
      <c r="H48" s="85">
        <v>6.0</v>
      </c>
      <c r="I48" s="85">
        <v>7.0</v>
      </c>
      <c r="J48" s="85">
        <v>8.0</v>
      </c>
      <c r="K48" s="85">
        <v>9.0</v>
      </c>
      <c r="L48" s="85">
        <v>10.0</v>
      </c>
      <c r="M48" s="85">
        <v>11.0</v>
      </c>
      <c r="N48" s="85">
        <v>12.0</v>
      </c>
      <c r="O48" s="85">
        <v>13.0</v>
      </c>
      <c r="P48" s="85">
        <v>14.0</v>
      </c>
      <c r="Q48" s="85">
        <v>15.0</v>
      </c>
      <c r="R48" s="85">
        <v>16.0</v>
      </c>
      <c r="S48" s="85">
        <v>17.0</v>
      </c>
      <c r="T48" s="85">
        <v>18.0</v>
      </c>
      <c r="U48" s="85">
        <v>19.0</v>
      </c>
      <c r="V48" s="85">
        <v>20.0</v>
      </c>
      <c r="W48" s="85">
        <v>21.0</v>
      </c>
      <c r="X48" s="85">
        <v>22.0</v>
      </c>
      <c r="Y48" s="85">
        <v>23.0</v>
      </c>
      <c r="Z48" s="85">
        <v>24.0</v>
      </c>
      <c r="AA48" s="85">
        <v>25.0</v>
      </c>
      <c r="AB48" s="85"/>
      <c r="AC48" s="82"/>
      <c r="AD48" s="20"/>
      <c r="AE48" s="20"/>
      <c r="AF48" s="20"/>
      <c r="AG48" s="20"/>
    </row>
    <row r="49" hidden="1">
      <c r="A49" s="86" t="s">
        <v>12</v>
      </c>
      <c r="B49" s="85">
        <f>AB41-B51-B56</f>
        <v>0</v>
      </c>
      <c r="C49" s="85">
        <f t="shared" ref="C49:AA49" si="26">B49-C51</f>
        <v>0</v>
      </c>
      <c r="D49" s="85">
        <f t="shared" si="26"/>
        <v>0</v>
      </c>
      <c r="E49" s="85">
        <f t="shared" si="26"/>
        <v>0</v>
      </c>
      <c r="F49" s="85">
        <f t="shared" si="26"/>
        <v>0</v>
      </c>
      <c r="G49" s="85">
        <f t="shared" si="26"/>
        <v>0</v>
      </c>
      <c r="H49" s="85">
        <f t="shared" si="26"/>
        <v>0</v>
      </c>
      <c r="I49" s="85">
        <f t="shared" si="26"/>
        <v>0</v>
      </c>
      <c r="J49" s="85">
        <f t="shared" si="26"/>
        <v>0</v>
      </c>
      <c r="K49" s="85">
        <f t="shared" si="26"/>
        <v>0</v>
      </c>
      <c r="L49" s="85">
        <f t="shared" si="26"/>
        <v>0</v>
      </c>
      <c r="M49" s="85">
        <f t="shared" si="26"/>
        <v>0</v>
      </c>
      <c r="N49" s="85">
        <f t="shared" si="26"/>
        <v>0</v>
      </c>
      <c r="O49" s="85">
        <f t="shared" si="26"/>
        <v>0</v>
      </c>
      <c r="P49" s="85">
        <f t="shared" si="26"/>
        <v>0</v>
      </c>
      <c r="Q49" s="85">
        <f t="shared" si="26"/>
        <v>0</v>
      </c>
      <c r="R49" s="85">
        <f t="shared" si="26"/>
        <v>0</v>
      </c>
      <c r="S49" s="85">
        <f t="shared" si="26"/>
        <v>0</v>
      </c>
      <c r="T49" s="85">
        <f t="shared" si="26"/>
        <v>0</v>
      </c>
      <c r="U49" s="85">
        <f t="shared" si="26"/>
        <v>0</v>
      </c>
      <c r="V49" s="85">
        <f t="shared" si="26"/>
        <v>0</v>
      </c>
      <c r="W49" s="85">
        <f t="shared" si="26"/>
        <v>0</v>
      </c>
      <c r="X49" s="85">
        <f t="shared" si="26"/>
        <v>0</v>
      </c>
      <c r="Y49" s="85">
        <f t="shared" si="26"/>
        <v>0</v>
      </c>
      <c r="Z49" s="85">
        <f t="shared" si="26"/>
        <v>0</v>
      </c>
      <c r="AA49" s="85">
        <f t="shared" si="26"/>
        <v>0</v>
      </c>
      <c r="AB49" s="85"/>
      <c r="AC49" s="82"/>
      <c r="AD49" s="20"/>
      <c r="AE49" s="20"/>
      <c r="AF49" s="20"/>
      <c r="AG49" s="20"/>
    </row>
    <row r="50">
      <c r="A50" s="89" t="s">
        <v>13</v>
      </c>
      <c r="B50" s="85">
        <v>0.0</v>
      </c>
      <c r="C50" s="85">
        <f t="shared" ref="C50:AA50" si="27">B49*$AB$3</f>
        <v>0</v>
      </c>
      <c r="D50" s="85">
        <f t="shared" si="27"/>
        <v>0</v>
      </c>
      <c r="E50" s="85">
        <f t="shared" si="27"/>
        <v>0</v>
      </c>
      <c r="F50" s="85">
        <f t="shared" si="27"/>
        <v>0</v>
      </c>
      <c r="G50" s="85">
        <f t="shared" si="27"/>
        <v>0</v>
      </c>
      <c r="H50" s="85">
        <f t="shared" si="27"/>
        <v>0</v>
      </c>
      <c r="I50" s="85">
        <f t="shared" si="27"/>
        <v>0</v>
      </c>
      <c r="J50" s="85">
        <f t="shared" si="27"/>
        <v>0</v>
      </c>
      <c r="K50" s="85">
        <f t="shared" si="27"/>
        <v>0</v>
      </c>
      <c r="L50" s="85">
        <f t="shared" si="27"/>
        <v>0</v>
      </c>
      <c r="M50" s="85">
        <f t="shared" si="27"/>
        <v>0</v>
      </c>
      <c r="N50" s="85">
        <f t="shared" si="27"/>
        <v>0</v>
      </c>
      <c r="O50" s="85">
        <f t="shared" si="27"/>
        <v>0</v>
      </c>
      <c r="P50" s="85">
        <f t="shared" si="27"/>
        <v>0</v>
      </c>
      <c r="Q50" s="85">
        <f t="shared" si="27"/>
        <v>0</v>
      </c>
      <c r="R50" s="85">
        <f t="shared" si="27"/>
        <v>0</v>
      </c>
      <c r="S50" s="85">
        <f t="shared" si="27"/>
        <v>0</v>
      </c>
      <c r="T50" s="85">
        <f t="shared" si="27"/>
        <v>0</v>
      </c>
      <c r="U50" s="85">
        <f t="shared" si="27"/>
        <v>0</v>
      </c>
      <c r="V50" s="85">
        <f t="shared" si="27"/>
        <v>0</v>
      </c>
      <c r="W50" s="85">
        <f t="shared" si="27"/>
        <v>0</v>
      </c>
      <c r="X50" s="85">
        <f t="shared" si="27"/>
        <v>0</v>
      </c>
      <c r="Y50" s="85">
        <f t="shared" si="27"/>
        <v>0</v>
      </c>
      <c r="Z50" s="85">
        <f t="shared" si="27"/>
        <v>0</v>
      </c>
      <c r="AA50" s="85">
        <f t="shared" si="27"/>
        <v>0</v>
      </c>
      <c r="AB50" s="85">
        <f t="shared" ref="AB50:AB52" si="29">SUM(B50:AA50)</f>
        <v>0</v>
      </c>
      <c r="AC50" s="155">
        <f t="shared" ref="AC50:AC52" si="30">B50+NPV($AB$3, C50:AA50)</f>
        <v>0</v>
      </c>
      <c r="AD50" s="20"/>
      <c r="AE50" s="20"/>
      <c r="AF50" s="20"/>
      <c r="AG50" s="20"/>
    </row>
    <row r="51">
      <c r="A51" s="89" t="s">
        <v>14</v>
      </c>
      <c r="B51" s="85">
        <f>AB41-B56</f>
        <v>15729.6</v>
      </c>
      <c r="C51" s="85">
        <f t="shared" ref="C51:AA51" si="28">IF(B49=0, 0, C52-C50)</f>
        <v>0</v>
      </c>
      <c r="D51" s="85">
        <f t="shared" si="28"/>
        <v>0</v>
      </c>
      <c r="E51" s="85">
        <f t="shared" si="28"/>
        <v>0</v>
      </c>
      <c r="F51" s="85">
        <f t="shared" si="28"/>
        <v>0</v>
      </c>
      <c r="G51" s="85">
        <f t="shared" si="28"/>
        <v>0</v>
      </c>
      <c r="H51" s="85">
        <f t="shared" si="28"/>
        <v>0</v>
      </c>
      <c r="I51" s="85">
        <f t="shared" si="28"/>
        <v>0</v>
      </c>
      <c r="J51" s="85">
        <f t="shared" si="28"/>
        <v>0</v>
      </c>
      <c r="K51" s="85">
        <f t="shared" si="28"/>
        <v>0</v>
      </c>
      <c r="L51" s="85">
        <f t="shared" si="28"/>
        <v>0</v>
      </c>
      <c r="M51" s="85">
        <f t="shared" si="28"/>
        <v>0</v>
      </c>
      <c r="N51" s="85">
        <f t="shared" si="28"/>
        <v>0</v>
      </c>
      <c r="O51" s="85">
        <f t="shared" si="28"/>
        <v>0</v>
      </c>
      <c r="P51" s="85">
        <f t="shared" si="28"/>
        <v>0</v>
      </c>
      <c r="Q51" s="85">
        <f t="shared" si="28"/>
        <v>0</v>
      </c>
      <c r="R51" s="85">
        <f t="shared" si="28"/>
        <v>0</v>
      </c>
      <c r="S51" s="85">
        <f t="shared" si="28"/>
        <v>0</v>
      </c>
      <c r="T51" s="85">
        <f t="shared" si="28"/>
        <v>0</v>
      </c>
      <c r="U51" s="85">
        <f t="shared" si="28"/>
        <v>0</v>
      </c>
      <c r="V51" s="85">
        <f t="shared" si="28"/>
        <v>0</v>
      </c>
      <c r="W51" s="85">
        <f t="shared" si="28"/>
        <v>0</v>
      </c>
      <c r="X51" s="85">
        <f t="shared" si="28"/>
        <v>0</v>
      </c>
      <c r="Y51" s="85">
        <f t="shared" si="28"/>
        <v>0</v>
      </c>
      <c r="Z51" s="85">
        <f t="shared" si="28"/>
        <v>0</v>
      </c>
      <c r="AA51" s="85">
        <f t="shared" si="28"/>
        <v>0</v>
      </c>
      <c r="AB51" s="85">
        <f t="shared" si="29"/>
        <v>15729.6</v>
      </c>
      <c r="AC51" s="155">
        <f t="shared" si="30"/>
        <v>15729.6</v>
      </c>
      <c r="AD51" s="20"/>
      <c r="AE51" s="20"/>
      <c r="AF51" s="20"/>
      <c r="AG51" s="20"/>
    </row>
    <row r="52">
      <c r="A52" s="86" t="s">
        <v>15</v>
      </c>
      <c r="B52" s="85">
        <f>B50+B51</f>
        <v>15729.6</v>
      </c>
      <c r="C52" s="85">
        <f t="shared" ref="C52:AA52" si="31">ABS(PMT($AB$3,25,$B$49,0))</f>
        <v>0</v>
      </c>
      <c r="D52" s="85">
        <f t="shared" si="31"/>
        <v>0</v>
      </c>
      <c r="E52" s="85">
        <f t="shared" si="31"/>
        <v>0</v>
      </c>
      <c r="F52" s="85">
        <f t="shared" si="31"/>
        <v>0</v>
      </c>
      <c r="G52" s="85">
        <f t="shared" si="31"/>
        <v>0</v>
      </c>
      <c r="H52" s="85">
        <f t="shared" si="31"/>
        <v>0</v>
      </c>
      <c r="I52" s="85">
        <f t="shared" si="31"/>
        <v>0</v>
      </c>
      <c r="J52" s="85">
        <f t="shared" si="31"/>
        <v>0</v>
      </c>
      <c r="K52" s="85">
        <f t="shared" si="31"/>
        <v>0</v>
      </c>
      <c r="L52" s="85">
        <f t="shared" si="31"/>
        <v>0</v>
      </c>
      <c r="M52" s="85">
        <f t="shared" si="31"/>
        <v>0</v>
      </c>
      <c r="N52" s="85">
        <f t="shared" si="31"/>
        <v>0</v>
      </c>
      <c r="O52" s="85">
        <f t="shared" si="31"/>
        <v>0</v>
      </c>
      <c r="P52" s="85">
        <f t="shared" si="31"/>
        <v>0</v>
      </c>
      <c r="Q52" s="85">
        <f t="shared" si="31"/>
        <v>0</v>
      </c>
      <c r="R52" s="85">
        <f t="shared" si="31"/>
        <v>0</v>
      </c>
      <c r="S52" s="85">
        <f t="shared" si="31"/>
        <v>0</v>
      </c>
      <c r="T52" s="85">
        <f t="shared" si="31"/>
        <v>0</v>
      </c>
      <c r="U52" s="85">
        <f t="shared" si="31"/>
        <v>0</v>
      </c>
      <c r="V52" s="85">
        <f t="shared" si="31"/>
        <v>0</v>
      </c>
      <c r="W52" s="85">
        <f t="shared" si="31"/>
        <v>0</v>
      </c>
      <c r="X52" s="85">
        <f t="shared" si="31"/>
        <v>0</v>
      </c>
      <c r="Y52" s="85">
        <f t="shared" si="31"/>
        <v>0</v>
      </c>
      <c r="Z52" s="85">
        <f t="shared" si="31"/>
        <v>0</v>
      </c>
      <c r="AA52" s="85">
        <f t="shared" si="31"/>
        <v>0</v>
      </c>
      <c r="AB52" s="156">
        <f t="shared" si="29"/>
        <v>15729.6</v>
      </c>
      <c r="AC52" s="157">
        <f t="shared" si="30"/>
        <v>15729.6</v>
      </c>
      <c r="AD52" s="20"/>
      <c r="AE52" s="20"/>
      <c r="AF52" s="20"/>
      <c r="AG52" s="20"/>
    </row>
    <row r="53" hidden="1">
      <c r="A53" s="158" t="s">
        <v>26</v>
      </c>
      <c r="B53" s="85">
        <v>0.0</v>
      </c>
      <c r="C53" s="85">
        <v>1762.0</v>
      </c>
      <c r="D53" s="85">
        <v>1806.0</v>
      </c>
      <c r="E53" s="85">
        <v>1851.0</v>
      </c>
      <c r="F53" s="85">
        <v>1898.0</v>
      </c>
      <c r="G53" s="85">
        <v>1945.0</v>
      </c>
      <c r="H53" s="85">
        <v>1994.0</v>
      </c>
      <c r="I53" s="85">
        <v>2043.0</v>
      </c>
      <c r="J53" s="85">
        <v>2095.0</v>
      </c>
      <c r="K53" s="85">
        <v>2147.0</v>
      </c>
      <c r="L53" s="85">
        <v>2201.0</v>
      </c>
      <c r="M53" s="85">
        <v>2256.0</v>
      </c>
      <c r="N53" s="85">
        <v>2312.0</v>
      </c>
      <c r="O53" s="85">
        <v>2370.0</v>
      </c>
      <c r="P53" s="85">
        <v>2429.0</v>
      </c>
      <c r="Q53" s="85">
        <v>2490.0</v>
      </c>
      <c r="R53" s="85">
        <v>2552.0</v>
      </c>
      <c r="S53" s="85">
        <v>2616.0</v>
      </c>
      <c r="T53" s="85">
        <v>2681.0</v>
      </c>
      <c r="U53" s="85">
        <v>2748.0</v>
      </c>
      <c r="V53" s="85">
        <v>2817.0</v>
      </c>
      <c r="W53" s="85">
        <v>2887.0</v>
      </c>
      <c r="X53" s="85">
        <v>2960.0</v>
      </c>
      <c r="Y53" s="85">
        <v>3034.0</v>
      </c>
      <c r="Z53" s="85">
        <v>3109.0</v>
      </c>
      <c r="AA53" s="85">
        <v>3187.0</v>
      </c>
      <c r="AB53" s="85"/>
      <c r="AC53" s="155">
        <f t="shared" ref="AC53:AC54" si="32">NPV($AB$3, C53:AA53)</f>
        <v>25168.5933</v>
      </c>
      <c r="AD53" s="20"/>
      <c r="AE53" s="20"/>
      <c r="AF53" s="20"/>
      <c r="AG53" s="20"/>
    </row>
    <row r="54" hidden="1">
      <c r="A54" s="158" t="s">
        <v>27</v>
      </c>
      <c r="B54" s="85">
        <v>0.0</v>
      </c>
      <c r="C54" s="85">
        <v>997.0</v>
      </c>
      <c r="D54" s="85">
        <v>1024.0</v>
      </c>
      <c r="E54" s="85">
        <v>1051.0</v>
      </c>
      <c r="F54" s="85">
        <v>1080.0</v>
      </c>
      <c r="G54" s="85">
        <v>1109.0</v>
      </c>
      <c r="H54" s="85">
        <v>1139.0</v>
      </c>
      <c r="I54" s="85">
        <v>1170.0</v>
      </c>
      <c r="J54" s="85">
        <v>1202.0</v>
      </c>
      <c r="K54" s="85">
        <v>1235.0</v>
      </c>
      <c r="L54" s="85">
        <v>1268.0</v>
      </c>
      <c r="M54" s="85">
        <v>1303.0</v>
      </c>
      <c r="N54" s="85">
        <v>1338.0</v>
      </c>
      <c r="O54" s="85">
        <v>1375.0</v>
      </c>
      <c r="P54" s="85">
        <v>1412.0</v>
      </c>
      <c r="Q54" s="85">
        <v>1450.0</v>
      </c>
      <c r="R54" s="85">
        <v>1490.0</v>
      </c>
      <c r="S54" s="85">
        <v>1531.0</v>
      </c>
      <c r="T54" s="85">
        <v>1572.0</v>
      </c>
      <c r="U54" s="85">
        <v>1615.0</v>
      </c>
      <c r="V54" s="85">
        <v>1659.0</v>
      </c>
      <c r="W54" s="85">
        <v>1704.0</v>
      </c>
      <c r="X54" s="85">
        <v>1751.0</v>
      </c>
      <c r="Y54" s="85">
        <v>1799.0</v>
      </c>
      <c r="Z54" s="85">
        <v>1848.0</v>
      </c>
      <c r="AA54" s="85">
        <v>1898.0</v>
      </c>
      <c r="AB54" s="85"/>
      <c r="AC54" s="155">
        <f t="shared" si="32"/>
        <v>14531.30298</v>
      </c>
      <c r="AD54" s="20"/>
      <c r="AE54" s="20"/>
      <c r="AF54" s="20"/>
      <c r="AG54" s="20"/>
    </row>
    <row r="55">
      <c r="A55" s="91" t="s">
        <v>23</v>
      </c>
      <c r="B55" s="85">
        <v>0.0</v>
      </c>
      <c r="C55" s="85">
        <f t="shared" ref="C55:AA55" si="33">C53-C54</f>
        <v>765</v>
      </c>
      <c r="D55" s="85">
        <f t="shared" si="33"/>
        <v>782</v>
      </c>
      <c r="E55" s="85">
        <f t="shared" si="33"/>
        <v>800</v>
      </c>
      <c r="F55" s="85">
        <f t="shared" si="33"/>
        <v>818</v>
      </c>
      <c r="G55" s="85">
        <f t="shared" si="33"/>
        <v>836</v>
      </c>
      <c r="H55" s="85">
        <f t="shared" si="33"/>
        <v>855</v>
      </c>
      <c r="I55" s="85">
        <f t="shared" si="33"/>
        <v>873</v>
      </c>
      <c r="J55" s="85">
        <f t="shared" si="33"/>
        <v>893</v>
      </c>
      <c r="K55" s="85">
        <f t="shared" si="33"/>
        <v>912</v>
      </c>
      <c r="L55" s="85">
        <f t="shared" si="33"/>
        <v>933</v>
      </c>
      <c r="M55" s="85">
        <f t="shared" si="33"/>
        <v>953</v>
      </c>
      <c r="N55" s="85">
        <f t="shared" si="33"/>
        <v>974</v>
      </c>
      <c r="O55" s="85">
        <f t="shared" si="33"/>
        <v>995</v>
      </c>
      <c r="P55" s="85">
        <f t="shared" si="33"/>
        <v>1017</v>
      </c>
      <c r="Q55" s="85">
        <f t="shared" si="33"/>
        <v>1040</v>
      </c>
      <c r="R55" s="85">
        <f t="shared" si="33"/>
        <v>1062</v>
      </c>
      <c r="S55" s="85">
        <f t="shared" si="33"/>
        <v>1085</v>
      </c>
      <c r="T55" s="85">
        <f t="shared" si="33"/>
        <v>1109</v>
      </c>
      <c r="U55" s="85">
        <f t="shared" si="33"/>
        <v>1133</v>
      </c>
      <c r="V55" s="85">
        <f t="shared" si="33"/>
        <v>1158</v>
      </c>
      <c r="W55" s="85">
        <f t="shared" si="33"/>
        <v>1183</v>
      </c>
      <c r="X55" s="85">
        <f t="shared" si="33"/>
        <v>1209</v>
      </c>
      <c r="Y55" s="85">
        <f t="shared" si="33"/>
        <v>1235</v>
      </c>
      <c r="Z55" s="85">
        <f t="shared" si="33"/>
        <v>1261</v>
      </c>
      <c r="AA55" s="85">
        <f t="shared" si="33"/>
        <v>1289</v>
      </c>
      <c r="AB55" s="85">
        <f t="shared" ref="AB55:AB57" si="35">SUM(B55:AA55)</f>
        <v>25170</v>
      </c>
      <c r="AC55" s="155">
        <f t="shared" ref="AC55:AC57" si="36">B55+NPV($AB$3, C55:AA55)</f>
        <v>10637.29032</v>
      </c>
      <c r="AD55" s="20"/>
      <c r="AE55" s="20"/>
      <c r="AF55" s="20"/>
      <c r="AG55" s="20"/>
    </row>
    <row r="56">
      <c r="A56" s="94" t="s">
        <v>17</v>
      </c>
      <c r="B56" s="85">
        <f>AB43+AB44</f>
        <v>19598.4</v>
      </c>
      <c r="C56" s="85">
        <f t="shared" ref="C56:AA56" si="34">$AB$6</f>
        <v>600</v>
      </c>
      <c r="D56" s="85">
        <f t="shared" si="34"/>
        <v>600</v>
      </c>
      <c r="E56" s="85">
        <f t="shared" si="34"/>
        <v>600</v>
      </c>
      <c r="F56" s="85">
        <f t="shared" si="34"/>
        <v>600</v>
      </c>
      <c r="G56" s="85">
        <f t="shared" si="34"/>
        <v>600</v>
      </c>
      <c r="H56" s="85">
        <f t="shared" si="34"/>
        <v>600</v>
      </c>
      <c r="I56" s="85">
        <f t="shared" si="34"/>
        <v>600</v>
      </c>
      <c r="J56" s="85">
        <f t="shared" si="34"/>
        <v>600</v>
      </c>
      <c r="K56" s="85">
        <f t="shared" si="34"/>
        <v>600</v>
      </c>
      <c r="L56" s="85">
        <f t="shared" si="34"/>
        <v>600</v>
      </c>
      <c r="M56" s="85">
        <f t="shared" si="34"/>
        <v>600</v>
      </c>
      <c r="N56" s="85">
        <f t="shared" si="34"/>
        <v>600</v>
      </c>
      <c r="O56" s="85">
        <f t="shared" si="34"/>
        <v>600</v>
      </c>
      <c r="P56" s="85">
        <f t="shared" si="34"/>
        <v>600</v>
      </c>
      <c r="Q56" s="85">
        <f t="shared" si="34"/>
        <v>600</v>
      </c>
      <c r="R56" s="85">
        <f t="shared" si="34"/>
        <v>600</v>
      </c>
      <c r="S56" s="85">
        <f t="shared" si="34"/>
        <v>600</v>
      </c>
      <c r="T56" s="85">
        <f t="shared" si="34"/>
        <v>600</v>
      </c>
      <c r="U56" s="85">
        <f t="shared" si="34"/>
        <v>600</v>
      </c>
      <c r="V56" s="85">
        <f t="shared" si="34"/>
        <v>600</v>
      </c>
      <c r="W56" s="85">
        <f t="shared" si="34"/>
        <v>600</v>
      </c>
      <c r="X56" s="85">
        <f t="shared" si="34"/>
        <v>600</v>
      </c>
      <c r="Y56" s="85">
        <f t="shared" si="34"/>
        <v>600</v>
      </c>
      <c r="Z56" s="85">
        <f t="shared" si="34"/>
        <v>600</v>
      </c>
      <c r="AA56" s="85">
        <f t="shared" si="34"/>
        <v>600</v>
      </c>
      <c r="AB56" s="85">
        <f t="shared" si="35"/>
        <v>34598.4</v>
      </c>
      <c r="AC56" s="155">
        <f t="shared" si="36"/>
        <v>26441.94098</v>
      </c>
      <c r="AD56" s="20"/>
      <c r="AE56" s="20"/>
      <c r="AF56" s="20"/>
      <c r="AG56" s="20"/>
    </row>
    <row r="57">
      <c r="A57" s="95" t="s">
        <v>21</v>
      </c>
      <c r="B57" s="155">
        <f t="shared" ref="B57:AA57" si="37">B55+B56</f>
        <v>19598.4</v>
      </c>
      <c r="C57" s="155">
        <f t="shared" si="37"/>
        <v>1365</v>
      </c>
      <c r="D57" s="155">
        <f t="shared" si="37"/>
        <v>1382</v>
      </c>
      <c r="E57" s="155">
        <f t="shared" si="37"/>
        <v>1400</v>
      </c>
      <c r="F57" s="155">
        <f t="shared" si="37"/>
        <v>1418</v>
      </c>
      <c r="G57" s="155">
        <f t="shared" si="37"/>
        <v>1436</v>
      </c>
      <c r="H57" s="155">
        <f t="shared" si="37"/>
        <v>1455</v>
      </c>
      <c r="I57" s="155">
        <f t="shared" si="37"/>
        <v>1473</v>
      </c>
      <c r="J57" s="155">
        <f t="shared" si="37"/>
        <v>1493</v>
      </c>
      <c r="K57" s="155">
        <f t="shared" si="37"/>
        <v>1512</v>
      </c>
      <c r="L57" s="155">
        <f t="shared" si="37"/>
        <v>1533</v>
      </c>
      <c r="M57" s="155">
        <f t="shared" si="37"/>
        <v>1553</v>
      </c>
      <c r="N57" s="155">
        <f t="shared" si="37"/>
        <v>1574</v>
      </c>
      <c r="O57" s="155">
        <f t="shared" si="37"/>
        <v>1595</v>
      </c>
      <c r="P57" s="155">
        <f t="shared" si="37"/>
        <v>1617</v>
      </c>
      <c r="Q57" s="155">
        <f t="shared" si="37"/>
        <v>1640</v>
      </c>
      <c r="R57" s="155">
        <f t="shared" si="37"/>
        <v>1662</v>
      </c>
      <c r="S57" s="155">
        <f t="shared" si="37"/>
        <v>1685</v>
      </c>
      <c r="T57" s="155">
        <f t="shared" si="37"/>
        <v>1709</v>
      </c>
      <c r="U57" s="155">
        <f t="shared" si="37"/>
        <v>1733</v>
      </c>
      <c r="V57" s="155">
        <f t="shared" si="37"/>
        <v>1758</v>
      </c>
      <c r="W57" s="155">
        <f t="shared" si="37"/>
        <v>1783</v>
      </c>
      <c r="X57" s="155">
        <f t="shared" si="37"/>
        <v>1809</v>
      </c>
      <c r="Y57" s="155">
        <f t="shared" si="37"/>
        <v>1835</v>
      </c>
      <c r="Z57" s="155">
        <f t="shared" si="37"/>
        <v>1861</v>
      </c>
      <c r="AA57" s="155">
        <f t="shared" si="37"/>
        <v>1889</v>
      </c>
      <c r="AB57" s="156">
        <f t="shared" si="35"/>
        <v>59768.4</v>
      </c>
      <c r="AC57" s="157">
        <f t="shared" si="36"/>
        <v>37079.23129</v>
      </c>
      <c r="AD57" s="20"/>
      <c r="AE57" s="20"/>
      <c r="AF57" s="20"/>
      <c r="AG57" s="20"/>
    </row>
    <row r="58">
      <c r="A58" s="83" t="s">
        <v>19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159">
        <f t="shared" ref="AB58:AC58" si="38">AB57-AB52</f>
        <v>44038.8</v>
      </c>
      <c r="AC58" s="159">
        <f t="shared" si="38"/>
        <v>21349.63129</v>
      </c>
      <c r="AD58" s="20"/>
      <c r="AE58" s="20"/>
      <c r="AF58" s="20"/>
      <c r="AG58" s="20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20"/>
      <c r="AE59" s="20"/>
      <c r="AF59" s="20"/>
      <c r="AG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2025-11-23T19:29:16Z</dcterms:created>
  <dc:creator>Duke NSOE MEM 2026 Cohort</dc:creator>
</cp:coreProperties>
</file>