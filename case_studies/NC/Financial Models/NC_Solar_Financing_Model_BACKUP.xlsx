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V+Storage RSC" sheetId="2" state="visible" r:id="rId2"/>
    <sheet xmlns:r="http://schemas.openxmlformats.org/officeDocument/2006/relationships" name="PV+Storage Bridge" sheetId="3" state="visible" r:id="rId3"/>
    <sheet xmlns:r="http://schemas.openxmlformats.org/officeDocument/2006/relationships" name="Solar Only RSC" sheetId="4" state="visible" r:id="rId4"/>
    <sheet xmlns:r="http://schemas.openxmlformats.org/officeDocument/2006/relationships" name="Solar Only Bridge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"/>
    <numFmt numFmtId="166" formatCode="0.0%"/>
    <numFmt numFmtId="167" formatCode="$#,##0.00;($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666666"/>
      <sz val="9"/>
    </font>
    <font>
      <name val="Arial"/>
      <b val="1"/>
      <color rgb="00000000"/>
      <sz val="12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2" fontId="5" fillId="2" borderId="0" pivotButton="0" quotePrefix="0" xfId="0"/>
    <xf numFmtId="165" fontId="5" fillId="2" borderId="0" pivotButton="0" quotePrefix="0" xfId="0"/>
    <xf numFmtId="166" fontId="5" fillId="2" borderId="0" pivotButton="0" quotePrefix="0" xfId="0"/>
    <xf numFmtId="1" fontId="5" fillId="2" borderId="0" pivotButton="0" quotePrefix="0" xfId="0"/>
    <xf numFmtId="164" fontId="4" fillId="0" borderId="0" pivotButton="0" quotePrefix="0" xfId="0"/>
    <xf numFmtId="167" fontId="5" fillId="2" borderId="0" pivotButton="0" quotePrefix="0" xfId="0"/>
    <xf numFmtId="0" fontId="6" fillId="3" borderId="0" pivotButton="0" quotePrefix="0" xfId="0"/>
    <xf numFmtId="0" fontId="6" fillId="4" borderId="0" pivotButton="0" quotePrefix="0" xfId="0"/>
    <xf numFmtId="1" fontId="6" fillId="4" borderId="0" pivotButton="0" quotePrefix="0" xfId="0"/>
    <xf numFmtId="164" fontId="7" fillId="0" borderId="0" pivotButton="0" quotePrefix="0" xfId="0"/>
    <xf numFmtId="0" fontId="6" fillId="0" borderId="0" pivotButton="0" quotePrefix="0" xfId="0"/>
    <xf numFmtId="0" fontId="8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B1:E2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4" customWidth="1" min="4" max="4"/>
    <col width="42" customWidth="1" min="5" max="5"/>
  </cols>
  <sheetData>
    <row r="1">
      <c r="B1" s="1" t="inlineStr">
        <is>
          <t>NC Solar Financing Model — Input Parameters</t>
        </is>
      </c>
    </row>
    <row r="2">
      <c r="B2" s="2" t="inlineStr">
        <is>
          <t>Blue text = editable input  |  Black text = formula  |  Green text = cross-sheet link</t>
        </is>
      </c>
    </row>
    <row r="4">
      <c r="B4" s="3" t="inlineStr">
        <is>
          <t>SYSTEM PARAMETERS</t>
        </is>
      </c>
    </row>
    <row r="5">
      <c r="B5" s="4" t="inlineStr">
        <is>
          <t>PV + Storage System Cost</t>
        </is>
      </c>
      <c r="C5" s="5" t="n">
        <v>25085</v>
      </c>
      <c r="D5" s="4" t="inlineStr">
        <is>
          <t>$</t>
        </is>
      </c>
      <c r="E5" s="2" t="inlineStr">
        <is>
          <t>Source: SAM model, Duke Energy NC residential config</t>
        </is>
      </c>
    </row>
    <row r="6">
      <c r="B6" s="4" t="inlineStr">
        <is>
          <t>Solar Only System Cost</t>
        </is>
      </c>
      <c r="C6" s="5" t="n">
        <v>16302</v>
      </c>
      <c r="D6" s="4" t="inlineStr">
        <is>
          <t>$</t>
        </is>
      </c>
    </row>
    <row r="7">
      <c r="B7" s="4" t="inlineStr">
        <is>
          <t>Solar PV Capacity</t>
        </is>
      </c>
      <c r="C7" s="6" t="n">
        <v>5.77</v>
      </c>
      <c r="D7" s="4" t="inlineStr">
        <is>
          <t>kW</t>
        </is>
      </c>
    </row>
    <row r="8">
      <c r="B8" s="4" t="inlineStr">
        <is>
          <t>Battery Storage Capacity</t>
        </is>
      </c>
      <c r="C8" s="7" t="n">
        <v>13.5</v>
      </c>
      <c r="D8" s="4" t="inlineStr">
        <is>
          <t>kWh</t>
        </is>
      </c>
    </row>
    <row r="10">
      <c r="B10" s="3" t="inlineStr">
        <is>
          <t>FINANCIAL PARAMETERS</t>
        </is>
      </c>
    </row>
    <row r="11">
      <c r="B11" s="4" t="inlineStr">
        <is>
          <t>Debt Interest Rate</t>
        </is>
      </c>
      <c r="C11" s="8" t="n">
        <v>0.07240000000000001</v>
      </c>
      <c r="E11" s="2" t="inlineStr">
        <is>
          <t>Source: Prevailing NC residential solar loan rate</t>
        </is>
      </c>
    </row>
    <row r="12">
      <c r="B12" s="4" t="inlineStr">
        <is>
          <t>Customer Discount Rate</t>
        </is>
      </c>
      <c r="C12" s="8" t="n">
        <v>0.064</v>
      </c>
    </row>
    <row r="13">
      <c r="B13" s="4" t="inlineStr">
        <is>
          <t>Loan Term</t>
        </is>
      </c>
      <c r="C13" s="9" t="n">
        <v>25</v>
      </c>
      <c r="D13" s="4" t="inlineStr">
        <is>
          <t>years</t>
        </is>
      </c>
    </row>
    <row r="14">
      <c r="B14" s="4" t="inlineStr">
        <is>
          <t>Electricity Cost Escalation Rate</t>
        </is>
      </c>
      <c r="C14" s="8" t="n">
        <v>0.025</v>
      </c>
      <c r="E14" s="2" t="inlineStr">
        <is>
          <t>Source: EIA historical NC avg ~2-3%/yr</t>
        </is>
      </c>
    </row>
    <row r="16">
      <c r="B16" s="3" t="inlineStr">
        <is>
          <t>INCENTIVES</t>
        </is>
      </c>
    </row>
    <row r="17">
      <c r="B17" s="4" t="inlineStr">
        <is>
          <t>Federal ITC Rate</t>
        </is>
      </c>
      <c r="C17" s="8" t="n">
        <v>0.3</v>
      </c>
      <c r="E17" s="2" t="inlineStr">
        <is>
          <t>Expired Dec 2025; included for historical scenario comparison</t>
        </is>
      </c>
    </row>
    <row r="18">
      <c r="B18" s="4" t="inlineStr">
        <is>
          <t>FedITC Amount — PV+Storage</t>
        </is>
      </c>
      <c r="C18" s="10">
        <f>C5*C17</f>
        <v/>
      </c>
    </row>
    <row r="19">
      <c r="B19" s="4" t="inlineStr">
        <is>
          <t>FedITC Amount — Solar Only</t>
        </is>
      </c>
      <c r="C19" s="10">
        <f>C6*C17</f>
        <v/>
      </c>
    </row>
    <row r="20">
      <c r="B20" s="4" t="inlineStr">
        <is>
          <t>PowerPair Rebate (PV+Storage only)</t>
        </is>
      </c>
      <c r="C20" s="11" t="n">
        <v>7477.2</v>
      </c>
      <c r="E20" s="2" t="inlineStr">
        <is>
          <t>Source: Duke Energy NC PowerPair pilot program</t>
        </is>
      </c>
    </row>
    <row r="21">
      <c r="B21" s="4" t="inlineStr">
        <is>
          <t>EnergyWise Battery Credit (annual)</t>
        </is>
      </c>
      <c r="C21" s="11" t="n">
        <v>276.51</v>
      </c>
      <c r="D21" s="4" t="inlineStr">
        <is>
          <t>$/yr</t>
        </is>
      </c>
      <c r="E21" s="2" t="inlineStr">
        <is>
          <t>Source: Duke Energy EnergyWise Home Battery program</t>
        </is>
      </c>
    </row>
    <row r="23">
      <c r="B23" s="3" t="inlineStr">
        <is>
          <t>YEAR 1 ELECTRICITY BILLS (from SAM simulation)</t>
        </is>
      </c>
    </row>
    <row r="24">
      <c r="C24" s="12" t="inlineStr">
        <is>
          <t>Without System</t>
        </is>
      </c>
      <c r="D24" s="12" t="inlineStr">
        <is>
          <t>With System</t>
        </is>
      </c>
      <c r="E24" s="12" t="inlineStr">
        <is>
          <t>Annual Savings</t>
        </is>
      </c>
    </row>
    <row r="25">
      <c r="B25" s="4" t="inlineStr">
        <is>
          <t>PV+Storage — RSC ($/yr)</t>
        </is>
      </c>
      <c r="C25" s="5" t="n">
        <v>1744</v>
      </c>
      <c r="D25" s="5" t="n">
        <v>1113</v>
      </c>
      <c r="E25" s="10">
        <f>C25-D25</f>
        <v/>
      </c>
    </row>
    <row r="26">
      <c r="B26" s="4" t="inlineStr">
        <is>
          <t>PV+Storage — Bridge ($/yr)</t>
        </is>
      </c>
      <c r="C26" s="5" t="n">
        <v>1624</v>
      </c>
      <c r="D26" s="5" t="n">
        <v>1048</v>
      </c>
      <c r="E26" s="10">
        <f>C26-D26</f>
        <v/>
      </c>
    </row>
    <row r="27">
      <c r="B27" s="4" t="inlineStr">
        <is>
          <t>Solar Only — RSC ($/yr)</t>
        </is>
      </c>
      <c r="C27" s="5" t="n">
        <v>1744</v>
      </c>
      <c r="D27" s="5" t="n">
        <v>1113</v>
      </c>
      <c r="E27" s="10">
        <f>C27-D27</f>
        <v/>
      </c>
    </row>
    <row r="28">
      <c r="B28" s="4" t="inlineStr">
        <is>
          <t>Solar Only — Bridge ($/yr)</t>
        </is>
      </c>
      <c r="C28" s="5" t="n">
        <v>1624</v>
      </c>
      <c r="D28" s="5" t="n">
        <v>1121</v>
      </c>
      <c r="E28" s="10">
        <f>C28-D28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PV + Storage — RSC Rate</t>
        </is>
      </c>
    </row>
    <row r="2">
      <c r="A2" s="2" t="inlineStr">
        <is>
          <t>All formulas reference Inputs sheet</t>
        </is>
      </c>
    </row>
    <row r="4">
      <c r="A4" s="3" t="inlineStr">
        <is>
          <t>Scenario 1: FedITC + State Incentives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Inputs!C5-Inputs!C18-Inputs!C20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— P&amp;I ($)</t>
        </is>
      </c>
      <c r="B9" s="10" t="n">
        <v>0</v>
      </c>
      <c r="C9" s="10">
        <f>IF(B6&lt;=0,0,ABS(PMT(Inputs!$C$11,Inputs!$C$13,B6,0)))</f>
        <v/>
      </c>
      <c r="D9" s="10">
        <f>IF(C6&lt;=0,0,ABS(PMT(Inputs!$C$11,Inputs!$C$13,B6,0)))</f>
        <v/>
      </c>
      <c r="E9" s="10">
        <f>IF(D6&lt;=0,0,ABS(PMT(Inputs!$C$11,Inputs!$C$13,B6,0)))</f>
        <v/>
      </c>
      <c r="F9" s="10">
        <f>IF(E6&lt;=0,0,ABS(PMT(Inputs!$C$11,Inputs!$C$13,B6,0)))</f>
        <v/>
      </c>
      <c r="G9" s="10">
        <f>IF(F6&lt;=0,0,ABS(PMT(Inputs!$C$11,Inputs!$C$13,B6,0)))</f>
        <v/>
      </c>
      <c r="H9" s="10">
        <f>IF(G6&lt;=0,0,ABS(PMT(Inputs!$C$11,Inputs!$C$13,B6,0)))</f>
        <v/>
      </c>
      <c r="I9" s="10">
        <f>IF(H6&lt;=0,0,ABS(PMT(Inputs!$C$11,Inputs!$C$13,B6,0)))</f>
        <v/>
      </c>
      <c r="J9" s="10">
        <f>IF(I6&lt;=0,0,ABS(PMT(Inputs!$C$11,Inputs!$C$13,B6,0)))</f>
        <v/>
      </c>
      <c r="K9" s="10">
        <f>IF(J6&lt;=0,0,ABS(PMT(Inputs!$C$11,Inputs!$C$13,B6,0)))</f>
        <v/>
      </c>
      <c r="L9" s="10">
        <f>IF(K6&lt;=0,0,ABS(PMT(Inputs!$C$11,Inputs!$C$13,B6,0)))</f>
        <v/>
      </c>
      <c r="M9" s="10">
        <f>IF(L6&lt;=0,0,ABS(PMT(Inputs!$C$11,Inputs!$C$13,B6,0)))</f>
        <v/>
      </c>
      <c r="N9" s="10">
        <f>IF(M6&lt;=0,0,ABS(PMT(Inputs!$C$11,Inputs!$C$13,B6,0)))</f>
        <v/>
      </c>
      <c r="O9" s="10">
        <f>IF(N6&lt;=0,0,ABS(PMT(Inputs!$C$11,Inputs!$C$13,B6,0)))</f>
        <v/>
      </c>
      <c r="P9" s="10">
        <f>IF(O6&lt;=0,0,ABS(PMT(Inputs!$C$11,Inputs!$C$13,B6,0)))</f>
        <v/>
      </c>
      <c r="Q9" s="10">
        <f>IF(P6&lt;=0,0,ABS(PMT(Inputs!$C$11,Inputs!$C$13,B6,0)))</f>
        <v/>
      </c>
      <c r="R9" s="10">
        <f>IF(Q6&lt;=0,0,ABS(PMT(Inputs!$C$11,Inputs!$C$13,B6,0)))</f>
        <v/>
      </c>
      <c r="S9" s="10">
        <f>IF(R6&lt;=0,0,ABS(PMT(Inputs!$C$11,Inputs!$C$13,B6,0)))</f>
        <v/>
      </c>
      <c r="T9" s="10">
        <f>IF(S6&lt;=0,0,ABS(PMT(Inputs!$C$11,Inputs!$C$13,B6,0)))</f>
        <v/>
      </c>
      <c r="U9" s="10">
        <f>IF(T6&lt;=0,0,ABS(PMT(Inputs!$C$11,Inputs!$C$13,B6,0)))</f>
        <v/>
      </c>
      <c r="V9" s="10">
        <f>IF(U6&lt;=0,0,ABS(PMT(Inputs!$C$11,Inputs!$C$13,B6,0)))</f>
        <v/>
      </c>
      <c r="W9" s="10">
        <f>IF(V6&lt;=0,0,ABS(PMT(Inputs!$C$11,Inputs!$C$13,B6,0)))</f>
        <v/>
      </c>
      <c r="X9" s="10">
        <f>IF(W6&lt;=0,0,ABS(PMT(Inputs!$C$11,Inputs!$C$13,B6,0)))</f>
        <v/>
      </c>
      <c r="Y9" s="10">
        <f>IF(X6&lt;=0,0,ABS(PMT(Inputs!$C$11,Inputs!$C$13,B6,0)))</f>
        <v/>
      </c>
      <c r="Z9" s="10">
        <f>IF(Y6&lt;=0,0,ABS(PMT(Inputs!$C$11,Inputs!$C$13,B6,0)))</f>
        <v/>
      </c>
      <c r="AA9" s="10">
        <f>IF(Z6&lt;=0,0,ABS(PMT(Inputs!$C$11,Inputs!$C$13,B6,0)))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— No System ($)</t>
        </is>
      </c>
      <c r="B11" s="10" t="n">
        <v>0</v>
      </c>
      <c r="C11" s="15">
        <f>Inputs!C25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— With System ($)</t>
        </is>
      </c>
      <c r="B12" s="10" t="n">
        <v>0</v>
      </c>
      <c r="C12" s="15">
        <f>Inputs!D25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4" t="inlineStr">
        <is>
          <t>Incentive Savings — Annual ($)</t>
        </is>
      </c>
      <c r="B14" s="10" t="n">
        <v>0</v>
      </c>
      <c r="C14" s="15">
        <f>Inputs!$C$21</f>
        <v/>
      </c>
      <c r="D14" s="15">
        <f>Inputs!$C$21</f>
        <v/>
      </c>
      <c r="E14" s="15">
        <f>Inputs!$C$21</f>
        <v/>
      </c>
      <c r="F14" s="15">
        <f>Inputs!$C$21</f>
        <v/>
      </c>
      <c r="G14" s="15">
        <f>Inputs!$C$21</f>
        <v/>
      </c>
      <c r="H14" s="15">
        <f>Inputs!$C$21</f>
        <v/>
      </c>
      <c r="I14" s="15">
        <f>Inputs!$C$21</f>
        <v/>
      </c>
      <c r="J14" s="15">
        <f>Inputs!$C$21</f>
        <v/>
      </c>
      <c r="K14" s="15">
        <f>Inputs!$C$21</f>
        <v/>
      </c>
      <c r="L14" s="15">
        <f>Inputs!$C$21</f>
        <v/>
      </c>
      <c r="M14" s="15">
        <f>Inputs!$C$21</f>
        <v/>
      </c>
      <c r="N14" s="15">
        <f>Inputs!$C$21</f>
        <v/>
      </c>
      <c r="O14" s="15">
        <f>Inputs!$C$21</f>
        <v/>
      </c>
      <c r="P14" s="15">
        <f>Inputs!$C$21</f>
        <v/>
      </c>
      <c r="Q14" s="15">
        <f>Inputs!$C$21</f>
        <v/>
      </c>
      <c r="R14" s="15">
        <f>Inputs!$C$21</f>
        <v/>
      </c>
      <c r="S14" s="15">
        <f>Inputs!$C$21</f>
        <v/>
      </c>
      <c r="T14" s="15">
        <f>Inputs!$C$21</f>
        <v/>
      </c>
      <c r="U14" s="15">
        <f>Inputs!$C$21</f>
        <v/>
      </c>
      <c r="V14" s="15">
        <f>Inputs!$C$21</f>
        <v/>
      </c>
      <c r="W14" s="15">
        <f>Inputs!$C$21</f>
        <v/>
      </c>
      <c r="X14" s="15">
        <f>Inputs!$C$21</f>
        <v/>
      </c>
      <c r="Y14" s="15">
        <f>Inputs!$C$21</f>
        <v/>
      </c>
      <c r="Z14" s="15">
        <f>Inputs!$C$21</f>
        <v/>
      </c>
      <c r="AA14" s="15">
        <f>Inputs!$C$21</f>
        <v/>
      </c>
      <c r="AB14" s="10">
        <f>SUM(C14:AA14)</f>
        <v/>
      </c>
      <c r="AC14" s="10">
        <f>NPV(Inputs!$C$12,C14:AA14)</f>
        <v/>
      </c>
    </row>
    <row r="15">
      <c r="A15" s="16" t="inlineStr">
        <is>
          <t>Total Savings ($)</t>
        </is>
      </c>
      <c r="B15" s="10">
        <f>B13+B14</f>
        <v/>
      </c>
      <c r="C15" s="10">
        <f>C13+C14</f>
        <v/>
      </c>
      <c r="D15" s="10">
        <f>D13+D14</f>
        <v/>
      </c>
      <c r="E15" s="10">
        <f>E13+E14</f>
        <v/>
      </c>
      <c r="F15" s="10">
        <f>F13+F14</f>
        <v/>
      </c>
      <c r="G15" s="10">
        <f>G13+G14</f>
        <v/>
      </c>
      <c r="H15" s="10">
        <f>H13+H14</f>
        <v/>
      </c>
      <c r="I15" s="10">
        <f>I13+I14</f>
        <v/>
      </c>
      <c r="J15" s="10">
        <f>J13+J14</f>
        <v/>
      </c>
      <c r="K15" s="10">
        <f>K13+K14</f>
        <v/>
      </c>
      <c r="L15" s="10">
        <f>L13+L14</f>
        <v/>
      </c>
      <c r="M15" s="10">
        <f>M13+M14</f>
        <v/>
      </c>
      <c r="N15" s="10">
        <f>N13+N14</f>
        <v/>
      </c>
      <c r="O15" s="10">
        <f>O13+O14</f>
        <v/>
      </c>
      <c r="P15" s="10">
        <f>P13+P14</f>
        <v/>
      </c>
      <c r="Q15" s="10">
        <f>Q13+Q14</f>
        <v/>
      </c>
      <c r="R15" s="10">
        <f>R13+R14</f>
        <v/>
      </c>
      <c r="S15" s="10">
        <f>S13+S14</f>
        <v/>
      </c>
      <c r="T15" s="10">
        <f>T13+T14</f>
        <v/>
      </c>
      <c r="U15" s="10">
        <f>U13+U14</f>
        <v/>
      </c>
      <c r="V15" s="10">
        <f>V13+V14</f>
        <v/>
      </c>
      <c r="W15" s="10">
        <f>W13+W14</f>
        <v/>
      </c>
      <c r="X15" s="10">
        <f>X13+X14</f>
        <v/>
      </c>
      <c r="Y15" s="10">
        <f>Y13+Y14</f>
        <v/>
      </c>
      <c r="Z15" s="10">
        <f>Z13+Z14</f>
        <v/>
      </c>
      <c r="AA15" s="10">
        <f>AA13+AA14</f>
        <v/>
      </c>
      <c r="AB15" s="10">
        <f>SUM(C15:AA15)</f>
        <v/>
      </c>
      <c r="AC15" s="10">
        <f>NPV(Inputs!$C$12,C15:AA15)</f>
        <v/>
      </c>
    </row>
    <row r="16">
      <c r="A16" s="17" t="inlineStr">
        <is>
          <t>Net Savings ($)</t>
        </is>
      </c>
      <c r="B16" s="18">
        <f>B15-B9</f>
        <v/>
      </c>
      <c r="C16" s="18">
        <f>C15-C9</f>
        <v/>
      </c>
      <c r="D16" s="18">
        <f>D15-D9</f>
        <v/>
      </c>
      <c r="E16" s="18">
        <f>E15-E9</f>
        <v/>
      </c>
      <c r="F16" s="18">
        <f>F15-F9</f>
        <v/>
      </c>
      <c r="G16" s="18">
        <f>G15-G9</f>
        <v/>
      </c>
      <c r="H16" s="18">
        <f>H15-H9</f>
        <v/>
      </c>
      <c r="I16" s="18">
        <f>I15-I9</f>
        <v/>
      </c>
      <c r="J16" s="18">
        <f>J15-J9</f>
        <v/>
      </c>
      <c r="K16" s="18">
        <f>K15-K9</f>
        <v/>
      </c>
      <c r="L16" s="18">
        <f>L15-L9</f>
        <v/>
      </c>
      <c r="M16" s="18">
        <f>M15-M9</f>
        <v/>
      </c>
      <c r="N16" s="18">
        <f>N15-N9</f>
        <v/>
      </c>
      <c r="O16" s="18">
        <f>O15-O9</f>
        <v/>
      </c>
      <c r="P16" s="18">
        <f>P15-P9</f>
        <v/>
      </c>
      <c r="Q16" s="18">
        <f>Q15-Q9</f>
        <v/>
      </c>
      <c r="R16" s="18">
        <f>R15-R9</f>
        <v/>
      </c>
      <c r="S16" s="18">
        <f>S15-S9</f>
        <v/>
      </c>
      <c r="T16" s="18">
        <f>T15-T9</f>
        <v/>
      </c>
      <c r="U16" s="18">
        <f>U15-U9</f>
        <v/>
      </c>
      <c r="V16" s="18">
        <f>V15-V9</f>
        <v/>
      </c>
      <c r="W16" s="18">
        <f>W15-W9</f>
        <v/>
      </c>
      <c r="X16" s="18">
        <f>X15-X9</f>
        <v/>
      </c>
      <c r="Y16" s="18">
        <f>Y15-Y9</f>
        <v/>
      </c>
      <c r="Z16" s="18">
        <f>Z15-Z9</f>
        <v/>
      </c>
      <c r="AA16" s="18">
        <f>AA15-AA9</f>
        <v/>
      </c>
      <c r="AB16" s="18">
        <f>SUM(C16:AA16)</f>
        <v/>
      </c>
      <c r="AC16" s="18">
        <f>NPV(Inputs!$C$12,C16:AA16)</f>
        <v/>
      </c>
    </row>
    <row r="19">
      <c r="A19" s="3" t="inlineStr">
        <is>
          <t>Scenario 2: State Incentives Only (No FedITC)</t>
        </is>
      </c>
    </row>
    <row r="20">
      <c r="A20" s="13" t="inlineStr">
        <is>
          <t>Year</t>
        </is>
      </c>
      <c r="B20" s="14" t="n">
        <v>0</v>
      </c>
      <c r="C20" s="14" t="n">
        <v>1</v>
      </c>
      <c r="D20" s="14" t="n">
        <v>2</v>
      </c>
      <c r="E20" s="14" t="n">
        <v>3</v>
      </c>
      <c r="F20" s="14" t="n">
        <v>4</v>
      </c>
      <c r="G20" s="14" t="n">
        <v>5</v>
      </c>
      <c r="H20" s="14" t="n">
        <v>6</v>
      </c>
      <c r="I20" s="14" t="n">
        <v>7</v>
      </c>
      <c r="J20" s="14" t="n">
        <v>8</v>
      </c>
      <c r="K20" s="14" t="n">
        <v>9</v>
      </c>
      <c r="L20" s="14" t="n">
        <v>10</v>
      </c>
      <c r="M20" s="14" t="n">
        <v>11</v>
      </c>
      <c r="N20" s="14" t="n">
        <v>12</v>
      </c>
      <c r="O20" s="14" t="n">
        <v>13</v>
      </c>
      <c r="P20" s="14" t="n">
        <v>14</v>
      </c>
      <c r="Q20" s="14" t="n">
        <v>15</v>
      </c>
      <c r="R20" s="14" t="n">
        <v>16</v>
      </c>
      <c r="S20" s="14" t="n">
        <v>17</v>
      </c>
      <c r="T20" s="14" t="n">
        <v>18</v>
      </c>
      <c r="U20" s="14" t="n">
        <v>19</v>
      </c>
      <c r="V20" s="14" t="n">
        <v>20</v>
      </c>
      <c r="W20" s="14" t="n">
        <v>21</v>
      </c>
      <c r="X20" s="14" t="n">
        <v>22</v>
      </c>
      <c r="Y20" s="14" t="n">
        <v>23</v>
      </c>
      <c r="Z20" s="14" t="n">
        <v>24</v>
      </c>
      <c r="AA20" s="14" t="n">
        <v>25</v>
      </c>
      <c r="AB20" s="13" t="inlineStr">
        <is>
          <t>25yr Total</t>
        </is>
      </c>
      <c r="AC20" s="13" t="inlineStr">
        <is>
          <t>25yr NPV</t>
        </is>
      </c>
    </row>
    <row r="21">
      <c r="A21" s="4" t="inlineStr">
        <is>
          <t>Debt Balance ($)</t>
        </is>
      </c>
      <c r="B21" s="15">
        <f>Inputs!C5-Inputs!C20</f>
        <v/>
      </c>
      <c r="C21" s="10">
        <f>MAX(0,B21-C23)</f>
        <v/>
      </c>
      <c r="D21" s="10">
        <f>MAX(0,C21-D23)</f>
        <v/>
      </c>
      <c r="E21" s="10">
        <f>MAX(0,D21-E23)</f>
        <v/>
      </c>
      <c r="F21" s="10">
        <f>MAX(0,E21-F23)</f>
        <v/>
      </c>
      <c r="G21" s="10">
        <f>MAX(0,F21-G23)</f>
        <v/>
      </c>
      <c r="H21" s="10">
        <f>MAX(0,G21-H23)</f>
        <v/>
      </c>
      <c r="I21" s="10">
        <f>MAX(0,H21-I23)</f>
        <v/>
      </c>
      <c r="J21" s="10">
        <f>MAX(0,I21-J23)</f>
        <v/>
      </c>
      <c r="K21" s="10">
        <f>MAX(0,J21-K23)</f>
        <v/>
      </c>
      <c r="L21" s="10">
        <f>MAX(0,K21-L23)</f>
        <v/>
      </c>
      <c r="M21" s="10">
        <f>MAX(0,L21-M23)</f>
        <v/>
      </c>
      <c r="N21" s="10">
        <f>MAX(0,M21-N23)</f>
        <v/>
      </c>
      <c r="O21" s="10">
        <f>MAX(0,N21-O23)</f>
        <v/>
      </c>
      <c r="P21" s="10">
        <f>MAX(0,O21-P23)</f>
        <v/>
      </c>
      <c r="Q21" s="10">
        <f>MAX(0,P21-Q23)</f>
        <v/>
      </c>
      <c r="R21" s="10">
        <f>MAX(0,Q21-R23)</f>
        <v/>
      </c>
      <c r="S21" s="10">
        <f>MAX(0,R21-S23)</f>
        <v/>
      </c>
      <c r="T21" s="10">
        <f>MAX(0,S21-T23)</f>
        <v/>
      </c>
      <c r="U21" s="10">
        <f>MAX(0,T21-U23)</f>
        <v/>
      </c>
      <c r="V21" s="10">
        <f>MAX(0,U21-V23)</f>
        <v/>
      </c>
      <c r="W21" s="10">
        <f>MAX(0,V21-W23)</f>
        <v/>
      </c>
      <c r="X21" s="10">
        <f>MAX(0,W21-X23)</f>
        <v/>
      </c>
      <c r="Y21" s="10">
        <f>MAX(0,X21-Y23)</f>
        <v/>
      </c>
      <c r="Z21" s="10">
        <f>MAX(0,Y21-Z23)</f>
        <v/>
      </c>
      <c r="AA21" s="10">
        <f>MAX(0,Z21-AA23)</f>
        <v/>
      </c>
    </row>
    <row r="22">
      <c r="A22" s="4" t="inlineStr">
        <is>
          <t>Interest Payment ($)</t>
        </is>
      </c>
      <c r="B22" s="10" t="n">
        <v>0</v>
      </c>
      <c r="C22" s="10">
        <f>IF(B21&lt;=0,0,B21*Inputs!$C$11)</f>
        <v/>
      </c>
      <c r="D22" s="10">
        <f>IF(C21&lt;=0,0,C21*Inputs!$C$11)</f>
        <v/>
      </c>
      <c r="E22" s="10">
        <f>IF(D21&lt;=0,0,D21*Inputs!$C$11)</f>
        <v/>
      </c>
      <c r="F22" s="10">
        <f>IF(E21&lt;=0,0,E21*Inputs!$C$11)</f>
        <v/>
      </c>
      <c r="G22" s="10">
        <f>IF(F21&lt;=0,0,F21*Inputs!$C$11)</f>
        <v/>
      </c>
      <c r="H22" s="10">
        <f>IF(G21&lt;=0,0,G21*Inputs!$C$11)</f>
        <v/>
      </c>
      <c r="I22" s="10">
        <f>IF(H21&lt;=0,0,H21*Inputs!$C$11)</f>
        <v/>
      </c>
      <c r="J22" s="10">
        <f>IF(I21&lt;=0,0,I21*Inputs!$C$11)</f>
        <v/>
      </c>
      <c r="K22" s="10">
        <f>IF(J21&lt;=0,0,J21*Inputs!$C$11)</f>
        <v/>
      </c>
      <c r="L22" s="10">
        <f>IF(K21&lt;=0,0,K21*Inputs!$C$11)</f>
        <v/>
      </c>
      <c r="M22" s="10">
        <f>IF(L21&lt;=0,0,L21*Inputs!$C$11)</f>
        <v/>
      </c>
      <c r="N22" s="10">
        <f>IF(M21&lt;=0,0,M21*Inputs!$C$11)</f>
        <v/>
      </c>
      <c r="O22" s="10">
        <f>IF(N21&lt;=0,0,N21*Inputs!$C$11)</f>
        <v/>
      </c>
      <c r="P22" s="10">
        <f>IF(O21&lt;=0,0,O21*Inputs!$C$11)</f>
        <v/>
      </c>
      <c r="Q22" s="10">
        <f>IF(P21&lt;=0,0,P21*Inputs!$C$11)</f>
        <v/>
      </c>
      <c r="R22" s="10">
        <f>IF(Q21&lt;=0,0,Q21*Inputs!$C$11)</f>
        <v/>
      </c>
      <c r="S22" s="10">
        <f>IF(R21&lt;=0,0,R21*Inputs!$C$11)</f>
        <v/>
      </c>
      <c r="T22" s="10">
        <f>IF(S21&lt;=0,0,S21*Inputs!$C$11)</f>
        <v/>
      </c>
      <c r="U22" s="10">
        <f>IF(T21&lt;=0,0,T21*Inputs!$C$11)</f>
        <v/>
      </c>
      <c r="V22" s="10">
        <f>IF(U21&lt;=0,0,U21*Inputs!$C$11)</f>
        <v/>
      </c>
      <c r="W22" s="10">
        <f>IF(V21&lt;=0,0,V21*Inputs!$C$11)</f>
        <v/>
      </c>
      <c r="X22" s="10">
        <f>IF(W21&lt;=0,0,W21*Inputs!$C$11)</f>
        <v/>
      </c>
      <c r="Y22" s="10">
        <f>IF(X21&lt;=0,0,X21*Inputs!$C$11)</f>
        <v/>
      </c>
      <c r="Z22" s="10">
        <f>IF(Y21&lt;=0,0,Y21*Inputs!$C$11)</f>
        <v/>
      </c>
      <c r="AA22" s="10">
        <f>IF(Z21&lt;=0,0,Z21*Inputs!$C$11)</f>
        <v/>
      </c>
    </row>
    <row r="23">
      <c r="A23" s="4" t="inlineStr">
        <is>
          <t>Principal Payment ($)</t>
        </is>
      </c>
      <c r="B23" s="10" t="n">
        <v>0</v>
      </c>
      <c r="C23" s="10">
        <f>IF(B21&lt;=0,0,C24-C22)</f>
        <v/>
      </c>
      <c r="D23" s="10">
        <f>IF(B21&lt;=0,0,D24-D22)</f>
        <v/>
      </c>
      <c r="E23" s="10">
        <f>IF(B21&lt;=0,0,E24-E22)</f>
        <v/>
      </c>
      <c r="F23" s="10">
        <f>IF(B21&lt;=0,0,F24-F22)</f>
        <v/>
      </c>
      <c r="G23" s="10">
        <f>IF(B21&lt;=0,0,G24-G22)</f>
        <v/>
      </c>
      <c r="H23" s="10">
        <f>IF(B21&lt;=0,0,H24-H22)</f>
        <v/>
      </c>
      <c r="I23" s="10">
        <f>IF(B21&lt;=0,0,I24-I22)</f>
        <v/>
      </c>
      <c r="J23" s="10">
        <f>IF(B21&lt;=0,0,J24-J22)</f>
        <v/>
      </c>
      <c r="K23" s="10">
        <f>IF(B21&lt;=0,0,K24-K22)</f>
        <v/>
      </c>
      <c r="L23" s="10">
        <f>IF(B21&lt;=0,0,L24-L22)</f>
        <v/>
      </c>
      <c r="M23" s="10">
        <f>IF(B21&lt;=0,0,M24-M22)</f>
        <v/>
      </c>
      <c r="N23" s="10">
        <f>IF(B21&lt;=0,0,N24-N22)</f>
        <v/>
      </c>
      <c r="O23" s="10">
        <f>IF(B21&lt;=0,0,O24-O22)</f>
        <v/>
      </c>
      <c r="P23" s="10">
        <f>IF(B21&lt;=0,0,P24-P22)</f>
        <v/>
      </c>
      <c r="Q23" s="10">
        <f>IF(B21&lt;=0,0,Q24-Q22)</f>
        <v/>
      </c>
      <c r="R23" s="10">
        <f>IF(B21&lt;=0,0,R24-R22)</f>
        <v/>
      </c>
      <c r="S23" s="10">
        <f>IF(B21&lt;=0,0,S24-S22)</f>
        <v/>
      </c>
      <c r="T23" s="10">
        <f>IF(B21&lt;=0,0,T24-T22)</f>
        <v/>
      </c>
      <c r="U23" s="10">
        <f>IF(B21&lt;=0,0,U24-U22)</f>
        <v/>
      </c>
      <c r="V23" s="10">
        <f>IF(B21&lt;=0,0,V24-V22)</f>
        <v/>
      </c>
      <c r="W23" s="10">
        <f>IF(B21&lt;=0,0,W24-W22)</f>
        <v/>
      </c>
      <c r="X23" s="10">
        <f>IF(B21&lt;=0,0,X24-X22)</f>
        <v/>
      </c>
      <c r="Y23" s="10">
        <f>IF(B21&lt;=0,0,Y24-Y22)</f>
        <v/>
      </c>
      <c r="Z23" s="10">
        <f>IF(B21&lt;=0,0,Z24-Z22)</f>
        <v/>
      </c>
      <c r="AA23" s="10">
        <f>IF(B21&lt;=0,0,AA24-AA22)</f>
        <v/>
      </c>
    </row>
    <row r="24">
      <c r="A24" s="16" t="inlineStr">
        <is>
          <t>Total Payment — P&amp;I ($)</t>
        </is>
      </c>
      <c r="B24" s="10" t="n">
        <v>0</v>
      </c>
      <c r="C24" s="10">
        <f>IF(B21&lt;=0,0,ABS(PMT(Inputs!$C$11,Inputs!$C$13,B21,0)))</f>
        <v/>
      </c>
      <c r="D24" s="10">
        <f>IF(C21&lt;=0,0,ABS(PMT(Inputs!$C$11,Inputs!$C$13,B21,0)))</f>
        <v/>
      </c>
      <c r="E24" s="10">
        <f>IF(D21&lt;=0,0,ABS(PMT(Inputs!$C$11,Inputs!$C$13,B21,0)))</f>
        <v/>
      </c>
      <c r="F24" s="10">
        <f>IF(E21&lt;=0,0,ABS(PMT(Inputs!$C$11,Inputs!$C$13,B21,0)))</f>
        <v/>
      </c>
      <c r="G24" s="10">
        <f>IF(F21&lt;=0,0,ABS(PMT(Inputs!$C$11,Inputs!$C$13,B21,0)))</f>
        <v/>
      </c>
      <c r="H24" s="10">
        <f>IF(G21&lt;=0,0,ABS(PMT(Inputs!$C$11,Inputs!$C$13,B21,0)))</f>
        <v/>
      </c>
      <c r="I24" s="10">
        <f>IF(H21&lt;=0,0,ABS(PMT(Inputs!$C$11,Inputs!$C$13,B21,0)))</f>
        <v/>
      </c>
      <c r="J24" s="10">
        <f>IF(I21&lt;=0,0,ABS(PMT(Inputs!$C$11,Inputs!$C$13,B21,0)))</f>
        <v/>
      </c>
      <c r="K24" s="10">
        <f>IF(J21&lt;=0,0,ABS(PMT(Inputs!$C$11,Inputs!$C$13,B21,0)))</f>
        <v/>
      </c>
      <c r="L24" s="10">
        <f>IF(K21&lt;=0,0,ABS(PMT(Inputs!$C$11,Inputs!$C$13,B21,0)))</f>
        <v/>
      </c>
      <c r="M24" s="10">
        <f>IF(L21&lt;=0,0,ABS(PMT(Inputs!$C$11,Inputs!$C$13,B21,0)))</f>
        <v/>
      </c>
      <c r="N24" s="10">
        <f>IF(M21&lt;=0,0,ABS(PMT(Inputs!$C$11,Inputs!$C$13,B21,0)))</f>
        <v/>
      </c>
      <c r="O24" s="10">
        <f>IF(N21&lt;=0,0,ABS(PMT(Inputs!$C$11,Inputs!$C$13,B21,0)))</f>
        <v/>
      </c>
      <c r="P24" s="10">
        <f>IF(O21&lt;=0,0,ABS(PMT(Inputs!$C$11,Inputs!$C$13,B21,0)))</f>
        <v/>
      </c>
      <c r="Q24" s="10">
        <f>IF(P21&lt;=0,0,ABS(PMT(Inputs!$C$11,Inputs!$C$13,B21,0)))</f>
        <v/>
      </c>
      <c r="R24" s="10">
        <f>IF(Q21&lt;=0,0,ABS(PMT(Inputs!$C$11,Inputs!$C$13,B21,0)))</f>
        <v/>
      </c>
      <c r="S24" s="10">
        <f>IF(R21&lt;=0,0,ABS(PMT(Inputs!$C$11,Inputs!$C$13,B21,0)))</f>
        <v/>
      </c>
      <c r="T24" s="10">
        <f>IF(S21&lt;=0,0,ABS(PMT(Inputs!$C$11,Inputs!$C$13,B21,0)))</f>
        <v/>
      </c>
      <c r="U24" s="10">
        <f>IF(T21&lt;=0,0,ABS(PMT(Inputs!$C$11,Inputs!$C$13,B21,0)))</f>
        <v/>
      </c>
      <c r="V24" s="10">
        <f>IF(U21&lt;=0,0,ABS(PMT(Inputs!$C$11,Inputs!$C$13,B21,0)))</f>
        <v/>
      </c>
      <c r="W24" s="10">
        <f>IF(V21&lt;=0,0,ABS(PMT(Inputs!$C$11,Inputs!$C$13,B21,0)))</f>
        <v/>
      </c>
      <c r="X24" s="10">
        <f>IF(W21&lt;=0,0,ABS(PMT(Inputs!$C$11,Inputs!$C$13,B21,0)))</f>
        <v/>
      </c>
      <c r="Y24" s="10">
        <f>IF(X21&lt;=0,0,ABS(PMT(Inputs!$C$11,Inputs!$C$13,B21,0)))</f>
        <v/>
      </c>
      <c r="Z24" s="10">
        <f>IF(Y21&lt;=0,0,ABS(PMT(Inputs!$C$11,Inputs!$C$13,B21,0)))</f>
        <v/>
      </c>
      <c r="AA24" s="10">
        <f>IF(Z21&lt;=0,0,ABS(PMT(Inputs!$C$11,Inputs!$C$13,B21,0)))</f>
        <v/>
      </c>
      <c r="AB24" s="10">
        <f>SUM(C24:AA24)</f>
        <v/>
      </c>
      <c r="AC24" s="10">
        <f>NPV(Inputs!$C$12,C24:AA24)</f>
        <v/>
      </c>
    </row>
    <row r="26">
      <c r="A26" s="4" t="inlineStr">
        <is>
          <t>Elec. Bill — No System ($)</t>
        </is>
      </c>
      <c r="B26" s="10" t="n">
        <v>0</v>
      </c>
      <c r="C26" s="15">
        <f>Inputs!C25</f>
        <v/>
      </c>
      <c r="D26" s="10">
        <f>C26*(1+Inputs!$C$14)</f>
        <v/>
      </c>
      <c r="E26" s="10">
        <f>D26*(1+Inputs!$C$14)</f>
        <v/>
      </c>
      <c r="F26" s="10">
        <f>E26*(1+Inputs!$C$14)</f>
        <v/>
      </c>
      <c r="G26" s="10">
        <f>F26*(1+Inputs!$C$14)</f>
        <v/>
      </c>
      <c r="H26" s="10">
        <f>G26*(1+Inputs!$C$14)</f>
        <v/>
      </c>
      <c r="I26" s="10">
        <f>H26*(1+Inputs!$C$14)</f>
        <v/>
      </c>
      <c r="J26" s="10">
        <f>I26*(1+Inputs!$C$14)</f>
        <v/>
      </c>
      <c r="K26" s="10">
        <f>J26*(1+Inputs!$C$14)</f>
        <v/>
      </c>
      <c r="L26" s="10">
        <f>K26*(1+Inputs!$C$14)</f>
        <v/>
      </c>
      <c r="M26" s="10">
        <f>L26*(1+Inputs!$C$14)</f>
        <v/>
      </c>
      <c r="N26" s="10">
        <f>M26*(1+Inputs!$C$14)</f>
        <v/>
      </c>
      <c r="O26" s="10">
        <f>N26*(1+Inputs!$C$14)</f>
        <v/>
      </c>
      <c r="P26" s="10">
        <f>O26*(1+Inputs!$C$14)</f>
        <v/>
      </c>
      <c r="Q26" s="10">
        <f>P26*(1+Inputs!$C$14)</f>
        <v/>
      </c>
      <c r="R26" s="10">
        <f>Q26*(1+Inputs!$C$14)</f>
        <v/>
      </c>
      <c r="S26" s="10">
        <f>R26*(1+Inputs!$C$14)</f>
        <v/>
      </c>
      <c r="T26" s="10">
        <f>S26*(1+Inputs!$C$14)</f>
        <v/>
      </c>
      <c r="U26" s="10">
        <f>T26*(1+Inputs!$C$14)</f>
        <v/>
      </c>
      <c r="V26" s="10">
        <f>U26*(1+Inputs!$C$14)</f>
        <v/>
      </c>
      <c r="W26" s="10">
        <f>V26*(1+Inputs!$C$14)</f>
        <v/>
      </c>
      <c r="X26" s="10">
        <f>W26*(1+Inputs!$C$14)</f>
        <v/>
      </c>
      <c r="Y26" s="10">
        <f>X26*(1+Inputs!$C$14)</f>
        <v/>
      </c>
      <c r="Z26" s="10">
        <f>Y26*(1+Inputs!$C$14)</f>
        <v/>
      </c>
      <c r="AA26" s="10">
        <f>Z26*(1+Inputs!$C$14)</f>
        <v/>
      </c>
    </row>
    <row r="27">
      <c r="A27" s="4" t="inlineStr">
        <is>
          <t>Elec. Bill — With System ($)</t>
        </is>
      </c>
      <c r="B27" s="10" t="n">
        <v>0</v>
      </c>
      <c r="C27" s="15">
        <f>Inputs!D25</f>
        <v/>
      </c>
      <c r="D27" s="10">
        <f>C27*(1+Inputs!$C$14)</f>
        <v/>
      </c>
      <c r="E27" s="10">
        <f>D27*(1+Inputs!$C$14)</f>
        <v/>
      </c>
      <c r="F27" s="10">
        <f>E27*(1+Inputs!$C$14)</f>
        <v/>
      </c>
      <c r="G27" s="10">
        <f>F27*(1+Inputs!$C$14)</f>
        <v/>
      </c>
      <c r="H27" s="10">
        <f>G27*(1+Inputs!$C$14)</f>
        <v/>
      </c>
      <c r="I27" s="10">
        <f>H27*(1+Inputs!$C$14)</f>
        <v/>
      </c>
      <c r="J27" s="10">
        <f>I27*(1+Inputs!$C$14)</f>
        <v/>
      </c>
      <c r="K27" s="10">
        <f>J27*(1+Inputs!$C$14)</f>
        <v/>
      </c>
      <c r="L27" s="10">
        <f>K27*(1+Inputs!$C$14)</f>
        <v/>
      </c>
      <c r="M27" s="10">
        <f>L27*(1+Inputs!$C$14)</f>
        <v/>
      </c>
      <c r="N27" s="10">
        <f>M27*(1+Inputs!$C$14)</f>
        <v/>
      </c>
      <c r="O27" s="10">
        <f>N27*(1+Inputs!$C$14)</f>
        <v/>
      </c>
      <c r="P27" s="10">
        <f>O27*(1+Inputs!$C$14)</f>
        <v/>
      </c>
      <c r="Q27" s="10">
        <f>P27*(1+Inputs!$C$14)</f>
        <v/>
      </c>
      <c r="R27" s="10">
        <f>Q27*(1+Inputs!$C$14)</f>
        <v/>
      </c>
      <c r="S27" s="10">
        <f>R27*(1+Inputs!$C$14)</f>
        <v/>
      </c>
      <c r="T27" s="10">
        <f>S27*(1+Inputs!$C$14)</f>
        <v/>
      </c>
      <c r="U27" s="10">
        <f>T27*(1+Inputs!$C$14)</f>
        <v/>
      </c>
      <c r="V27" s="10">
        <f>U27*(1+Inputs!$C$14)</f>
        <v/>
      </c>
      <c r="W27" s="10">
        <f>V27*(1+Inputs!$C$14)</f>
        <v/>
      </c>
      <c r="X27" s="10">
        <f>W27*(1+Inputs!$C$14)</f>
        <v/>
      </c>
      <c r="Y27" s="10">
        <f>X27*(1+Inputs!$C$14)</f>
        <v/>
      </c>
      <c r="Z27" s="10">
        <f>Y27*(1+Inputs!$C$14)</f>
        <v/>
      </c>
      <c r="AA27" s="10">
        <f>Z27*(1+Inputs!$C$14)</f>
        <v/>
      </c>
    </row>
    <row r="28">
      <c r="A28" s="4" t="inlineStr">
        <is>
          <t>Bill Savings ($)</t>
        </is>
      </c>
      <c r="B28" s="10" t="n">
        <v>0</v>
      </c>
      <c r="C28" s="10">
        <f>C26-C27</f>
        <v/>
      </c>
      <c r="D28" s="10">
        <f>D26-D27</f>
        <v/>
      </c>
      <c r="E28" s="10">
        <f>E26-E27</f>
        <v/>
      </c>
      <c r="F28" s="10">
        <f>F26-F27</f>
        <v/>
      </c>
      <c r="G28" s="10">
        <f>G26-G27</f>
        <v/>
      </c>
      <c r="H28" s="10">
        <f>H26-H27</f>
        <v/>
      </c>
      <c r="I28" s="10">
        <f>I26-I27</f>
        <v/>
      </c>
      <c r="J28" s="10">
        <f>J26-J27</f>
        <v/>
      </c>
      <c r="K28" s="10">
        <f>K26-K27</f>
        <v/>
      </c>
      <c r="L28" s="10">
        <f>L26-L27</f>
        <v/>
      </c>
      <c r="M28" s="10">
        <f>M26-M27</f>
        <v/>
      </c>
      <c r="N28" s="10">
        <f>N26-N27</f>
        <v/>
      </c>
      <c r="O28" s="10">
        <f>O26-O27</f>
        <v/>
      </c>
      <c r="P28" s="10">
        <f>P26-P27</f>
        <v/>
      </c>
      <c r="Q28" s="10">
        <f>Q26-Q27</f>
        <v/>
      </c>
      <c r="R28" s="10">
        <f>R26-R27</f>
        <v/>
      </c>
      <c r="S28" s="10">
        <f>S26-S27</f>
        <v/>
      </c>
      <c r="T28" s="10">
        <f>T26-T27</f>
        <v/>
      </c>
      <c r="U28" s="10">
        <f>U26-U27</f>
        <v/>
      </c>
      <c r="V28" s="10">
        <f>V26-V27</f>
        <v/>
      </c>
      <c r="W28" s="10">
        <f>W26-W27</f>
        <v/>
      </c>
      <c r="X28" s="10">
        <f>X26-X27</f>
        <v/>
      </c>
      <c r="Y28" s="10">
        <f>Y26-Y27</f>
        <v/>
      </c>
      <c r="Z28" s="10">
        <f>Z26-Z27</f>
        <v/>
      </c>
      <c r="AA28" s="10">
        <f>AA26-AA27</f>
        <v/>
      </c>
      <c r="AB28" s="10">
        <f>SUM(C28:AA28)</f>
        <v/>
      </c>
      <c r="AC28" s="10">
        <f>NPV(Inputs!$C$12,C28:AA28)</f>
        <v/>
      </c>
    </row>
    <row r="29">
      <c r="A29" s="4" t="inlineStr">
        <is>
          <t>Incentive Savings — Annual ($)</t>
        </is>
      </c>
      <c r="B29" s="10" t="n">
        <v>0</v>
      </c>
      <c r="C29" s="15">
        <f>Inputs!$C$21</f>
        <v/>
      </c>
      <c r="D29" s="15">
        <f>Inputs!$C$21</f>
        <v/>
      </c>
      <c r="E29" s="15">
        <f>Inputs!$C$21</f>
        <v/>
      </c>
      <c r="F29" s="15">
        <f>Inputs!$C$21</f>
        <v/>
      </c>
      <c r="G29" s="15">
        <f>Inputs!$C$21</f>
        <v/>
      </c>
      <c r="H29" s="15">
        <f>Inputs!$C$21</f>
        <v/>
      </c>
      <c r="I29" s="15">
        <f>Inputs!$C$21</f>
        <v/>
      </c>
      <c r="J29" s="15">
        <f>Inputs!$C$21</f>
        <v/>
      </c>
      <c r="K29" s="15">
        <f>Inputs!$C$21</f>
        <v/>
      </c>
      <c r="L29" s="15">
        <f>Inputs!$C$21</f>
        <v/>
      </c>
      <c r="M29" s="15">
        <f>Inputs!$C$21</f>
        <v/>
      </c>
      <c r="N29" s="15">
        <f>Inputs!$C$21</f>
        <v/>
      </c>
      <c r="O29" s="15">
        <f>Inputs!$C$21</f>
        <v/>
      </c>
      <c r="P29" s="15">
        <f>Inputs!$C$21</f>
        <v/>
      </c>
      <c r="Q29" s="15">
        <f>Inputs!$C$21</f>
        <v/>
      </c>
      <c r="R29" s="15">
        <f>Inputs!$C$21</f>
        <v/>
      </c>
      <c r="S29" s="15">
        <f>Inputs!$C$21</f>
        <v/>
      </c>
      <c r="T29" s="15">
        <f>Inputs!$C$21</f>
        <v/>
      </c>
      <c r="U29" s="15">
        <f>Inputs!$C$21</f>
        <v/>
      </c>
      <c r="V29" s="15">
        <f>Inputs!$C$21</f>
        <v/>
      </c>
      <c r="W29" s="15">
        <f>Inputs!$C$21</f>
        <v/>
      </c>
      <c r="X29" s="15">
        <f>Inputs!$C$21</f>
        <v/>
      </c>
      <c r="Y29" s="15">
        <f>Inputs!$C$21</f>
        <v/>
      </c>
      <c r="Z29" s="15">
        <f>Inputs!$C$21</f>
        <v/>
      </c>
      <c r="AA29" s="15">
        <f>Inputs!$C$21</f>
        <v/>
      </c>
      <c r="AB29" s="10">
        <f>SUM(C29:AA29)</f>
        <v/>
      </c>
      <c r="AC29" s="10">
        <f>NPV(Inputs!$C$12,C29:AA29)</f>
        <v/>
      </c>
    </row>
    <row r="30">
      <c r="A30" s="16" t="inlineStr">
        <is>
          <t>Total Savings ($)</t>
        </is>
      </c>
      <c r="B30" s="10">
        <f>B28+B29</f>
        <v/>
      </c>
      <c r="C30" s="10">
        <f>C28+C29</f>
        <v/>
      </c>
      <c r="D30" s="10">
        <f>D28+D29</f>
        <v/>
      </c>
      <c r="E30" s="10">
        <f>E28+E29</f>
        <v/>
      </c>
      <c r="F30" s="10">
        <f>F28+F29</f>
        <v/>
      </c>
      <c r="G30" s="10">
        <f>G28+G29</f>
        <v/>
      </c>
      <c r="H30" s="10">
        <f>H28+H29</f>
        <v/>
      </c>
      <c r="I30" s="10">
        <f>I28+I29</f>
        <v/>
      </c>
      <c r="J30" s="10">
        <f>J28+J29</f>
        <v/>
      </c>
      <c r="K30" s="10">
        <f>K28+K29</f>
        <v/>
      </c>
      <c r="L30" s="10">
        <f>L28+L29</f>
        <v/>
      </c>
      <c r="M30" s="10">
        <f>M28+M29</f>
        <v/>
      </c>
      <c r="N30" s="10">
        <f>N28+N29</f>
        <v/>
      </c>
      <c r="O30" s="10">
        <f>O28+O29</f>
        <v/>
      </c>
      <c r="P30" s="10">
        <f>P28+P29</f>
        <v/>
      </c>
      <c r="Q30" s="10">
        <f>Q28+Q29</f>
        <v/>
      </c>
      <c r="R30" s="10">
        <f>R28+R29</f>
        <v/>
      </c>
      <c r="S30" s="10">
        <f>S28+S29</f>
        <v/>
      </c>
      <c r="T30" s="10">
        <f>T28+T29</f>
        <v/>
      </c>
      <c r="U30" s="10">
        <f>U28+U29</f>
        <v/>
      </c>
      <c r="V30" s="10">
        <f>V28+V29</f>
        <v/>
      </c>
      <c r="W30" s="10">
        <f>W28+W29</f>
        <v/>
      </c>
      <c r="X30" s="10">
        <f>X28+X29</f>
        <v/>
      </c>
      <c r="Y30" s="10">
        <f>Y28+Y29</f>
        <v/>
      </c>
      <c r="Z30" s="10">
        <f>Z28+Z29</f>
        <v/>
      </c>
      <c r="AA30" s="10">
        <f>AA28+AA29</f>
        <v/>
      </c>
      <c r="AB30" s="10">
        <f>SUM(C30:AA30)</f>
        <v/>
      </c>
      <c r="AC30" s="10">
        <f>NPV(Inputs!$C$12,C30:AA30)</f>
        <v/>
      </c>
    </row>
    <row r="31">
      <c r="A31" s="17" t="inlineStr">
        <is>
          <t>Net Savings ($)</t>
        </is>
      </c>
      <c r="B31" s="18">
        <f>B30-B24</f>
        <v/>
      </c>
      <c r="C31" s="18">
        <f>C30-C24</f>
        <v/>
      </c>
      <c r="D31" s="18">
        <f>D30-D24</f>
        <v/>
      </c>
      <c r="E31" s="18">
        <f>E30-E24</f>
        <v/>
      </c>
      <c r="F31" s="18">
        <f>F30-F24</f>
        <v/>
      </c>
      <c r="G31" s="18">
        <f>G30-G24</f>
        <v/>
      </c>
      <c r="H31" s="18">
        <f>H30-H24</f>
        <v/>
      </c>
      <c r="I31" s="18">
        <f>I30-I24</f>
        <v/>
      </c>
      <c r="J31" s="18">
        <f>J30-J24</f>
        <v/>
      </c>
      <c r="K31" s="18">
        <f>K30-K24</f>
        <v/>
      </c>
      <c r="L31" s="18">
        <f>L30-L24</f>
        <v/>
      </c>
      <c r="M31" s="18">
        <f>M30-M24</f>
        <v/>
      </c>
      <c r="N31" s="18">
        <f>N30-N24</f>
        <v/>
      </c>
      <c r="O31" s="18">
        <f>O30-O24</f>
        <v/>
      </c>
      <c r="P31" s="18">
        <f>P30-P24</f>
        <v/>
      </c>
      <c r="Q31" s="18">
        <f>Q30-Q24</f>
        <v/>
      </c>
      <c r="R31" s="18">
        <f>R30-R24</f>
        <v/>
      </c>
      <c r="S31" s="18">
        <f>S30-S24</f>
        <v/>
      </c>
      <c r="T31" s="18">
        <f>T30-T24</f>
        <v/>
      </c>
      <c r="U31" s="18">
        <f>U30-U24</f>
        <v/>
      </c>
      <c r="V31" s="18">
        <f>V30-V24</f>
        <v/>
      </c>
      <c r="W31" s="18">
        <f>W30-W24</f>
        <v/>
      </c>
      <c r="X31" s="18">
        <f>X30-X24</f>
        <v/>
      </c>
      <c r="Y31" s="18">
        <f>Y30-Y24</f>
        <v/>
      </c>
      <c r="Z31" s="18">
        <f>Z30-Z24</f>
        <v/>
      </c>
      <c r="AA31" s="18">
        <f>AA30-AA24</f>
        <v/>
      </c>
      <c r="AB31" s="18">
        <f>SUM(C31:AA31)</f>
        <v/>
      </c>
      <c r="AC31" s="18">
        <f>NPV(Inputs!$C$12,C31:AA31)</f>
        <v/>
      </c>
    </row>
    <row r="34">
      <c r="A34" s="3" t="inlineStr">
        <is>
          <t>Scenario 3: No Incentives</t>
        </is>
      </c>
    </row>
    <row r="35">
      <c r="A35" s="13" t="inlineStr">
        <is>
          <t>Year</t>
        </is>
      </c>
      <c r="B35" s="14" t="n">
        <v>0</v>
      </c>
      <c r="C35" s="14" t="n">
        <v>1</v>
      </c>
      <c r="D35" s="14" t="n">
        <v>2</v>
      </c>
      <c r="E35" s="14" t="n">
        <v>3</v>
      </c>
      <c r="F35" s="14" t="n">
        <v>4</v>
      </c>
      <c r="G35" s="14" t="n">
        <v>5</v>
      </c>
      <c r="H35" s="14" t="n">
        <v>6</v>
      </c>
      <c r="I35" s="14" t="n">
        <v>7</v>
      </c>
      <c r="J35" s="14" t="n">
        <v>8</v>
      </c>
      <c r="K35" s="14" t="n">
        <v>9</v>
      </c>
      <c r="L35" s="14" t="n">
        <v>10</v>
      </c>
      <c r="M35" s="14" t="n">
        <v>11</v>
      </c>
      <c r="N35" s="14" t="n">
        <v>12</v>
      </c>
      <c r="O35" s="14" t="n">
        <v>13</v>
      </c>
      <c r="P35" s="14" t="n">
        <v>14</v>
      </c>
      <c r="Q35" s="14" t="n">
        <v>15</v>
      </c>
      <c r="R35" s="14" t="n">
        <v>16</v>
      </c>
      <c r="S35" s="14" t="n">
        <v>17</v>
      </c>
      <c r="T35" s="14" t="n">
        <v>18</v>
      </c>
      <c r="U35" s="14" t="n">
        <v>19</v>
      </c>
      <c r="V35" s="14" t="n">
        <v>20</v>
      </c>
      <c r="W35" s="14" t="n">
        <v>21</v>
      </c>
      <c r="X35" s="14" t="n">
        <v>22</v>
      </c>
      <c r="Y35" s="14" t="n">
        <v>23</v>
      </c>
      <c r="Z35" s="14" t="n">
        <v>24</v>
      </c>
      <c r="AA35" s="14" t="n">
        <v>25</v>
      </c>
      <c r="AB35" s="13" t="inlineStr">
        <is>
          <t>25yr Total</t>
        </is>
      </c>
      <c r="AC35" s="13" t="inlineStr">
        <is>
          <t>25yr NPV</t>
        </is>
      </c>
    </row>
    <row r="36">
      <c r="A36" s="4" t="inlineStr">
        <is>
          <t>Debt Balance ($)</t>
        </is>
      </c>
      <c r="B36" s="15">
        <f>Inputs!C5</f>
        <v/>
      </c>
      <c r="C36" s="10">
        <f>MAX(0,B36-C38)</f>
        <v/>
      </c>
      <c r="D36" s="10">
        <f>MAX(0,C36-D38)</f>
        <v/>
      </c>
      <c r="E36" s="10">
        <f>MAX(0,D36-E38)</f>
        <v/>
      </c>
      <c r="F36" s="10">
        <f>MAX(0,E36-F38)</f>
        <v/>
      </c>
      <c r="G36" s="10">
        <f>MAX(0,F36-G38)</f>
        <v/>
      </c>
      <c r="H36" s="10">
        <f>MAX(0,G36-H38)</f>
        <v/>
      </c>
      <c r="I36" s="10">
        <f>MAX(0,H36-I38)</f>
        <v/>
      </c>
      <c r="J36" s="10">
        <f>MAX(0,I36-J38)</f>
        <v/>
      </c>
      <c r="K36" s="10">
        <f>MAX(0,J36-K38)</f>
        <v/>
      </c>
      <c r="L36" s="10">
        <f>MAX(0,K36-L38)</f>
        <v/>
      </c>
      <c r="M36" s="10">
        <f>MAX(0,L36-M38)</f>
        <v/>
      </c>
      <c r="N36" s="10">
        <f>MAX(0,M36-N38)</f>
        <v/>
      </c>
      <c r="O36" s="10">
        <f>MAX(0,N36-O38)</f>
        <v/>
      </c>
      <c r="P36" s="10">
        <f>MAX(0,O36-P38)</f>
        <v/>
      </c>
      <c r="Q36" s="10">
        <f>MAX(0,P36-Q38)</f>
        <v/>
      </c>
      <c r="R36" s="10">
        <f>MAX(0,Q36-R38)</f>
        <v/>
      </c>
      <c r="S36" s="10">
        <f>MAX(0,R36-S38)</f>
        <v/>
      </c>
      <c r="T36" s="10">
        <f>MAX(0,S36-T38)</f>
        <v/>
      </c>
      <c r="U36" s="10">
        <f>MAX(0,T36-U38)</f>
        <v/>
      </c>
      <c r="V36" s="10">
        <f>MAX(0,U36-V38)</f>
        <v/>
      </c>
      <c r="W36" s="10">
        <f>MAX(0,V36-W38)</f>
        <v/>
      </c>
      <c r="X36" s="10">
        <f>MAX(0,W36-X38)</f>
        <v/>
      </c>
      <c r="Y36" s="10">
        <f>MAX(0,X36-Y38)</f>
        <v/>
      </c>
      <c r="Z36" s="10">
        <f>MAX(0,Y36-Z38)</f>
        <v/>
      </c>
      <c r="AA36" s="10">
        <f>MAX(0,Z36-AA38)</f>
        <v/>
      </c>
    </row>
    <row r="37">
      <c r="A37" s="4" t="inlineStr">
        <is>
          <t>Interest Payment ($)</t>
        </is>
      </c>
      <c r="B37" s="10" t="n">
        <v>0</v>
      </c>
      <c r="C37" s="10">
        <f>IF(B36&lt;=0,0,B36*Inputs!$C$11)</f>
        <v/>
      </c>
      <c r="D37" s="10">
        <f>IF(C36&lt;=0,0,C36*Inputs!$C$11)</f>
        <v/>
      </c>
      <c r="E37" s="10">
        <f>IF(D36&lt;=0,0,D36*Inputs!$C$11)</f>
        <v/>
      </c>
      <c r="F37" s="10">
        <f>IF(E36&lt;=0,0,E36*Inputs!$C$11)</f>
        <v/>
      </c>
      <c r="G37" s="10">
        <f>IF(F36&lt;=0,0,F36*Inputs!$C$11)</f>
        <v/>
      </c>
      <c r="H37" s="10">
        <f>IF(G36&lt;=0,0,G36*Inputs!$C$11)</f>
        <v/>
      </c>
      <c r="I37" s="10">
        <f>IF(H36&lt;=0,0,H36*Inputs!$C$11)</f>
        <v/>
      </c>
      <c r="J37" s="10">
        <f>IF(I36&lt;=0,0,I36*Inputs!$C$11)</f>
        <v/>
      </c>
      <c r="K37" s="10">
        <f>IF(J36&lt;=0,0,J36*Inputs!$C$11)</f>
        <v/>
      </c>
      <c r="L37" s="10">
        <f>IF(K36&lt;=0,0,K36*Inputs!$C$11)</f>
        <v/>
      </c>
      <c r="M37" s="10">
        <f>IF(L36&lt;=0,0,L36*Inputs!$C$11)</f>
        <v/>
      </c>
      <c r="N37" s="10">
        <f>IF(M36&lt;=0,0,M36*Inputs!$C$11)</f>
        <v/>
      </c>
      <c r="O37" s="10">
        <f>IF(N36&lt;=0,0,N36*Inputs!$C$11)</f>
        <v/>
      </c>
      <c r="P37" s="10">
        <f>IF(O36&lt;=0,0,O36*Inputs!$C$11)</f>
        <v/>
      </c>
      <c r="Q37" s="10">
        <f>IF(P36&lt;=0,0,P36*Inputs!$C$11)</f>
        <v/>
      </c>
      <c r="R37" s="10">
        <f>IF(Q36&lt;=0,0,Q36*Inputs!$C$11)</f>
        <v/>
      </c>
      <c r="S37" s="10">
        <f>IF(R36&lt;=0,0,R36*Inputs!$C$11)</f>
        <v/>
      </c>
      <c r="T37" s="10">
        <f>IF(S36&lt;=0,0,S36*Inputs!$C$11)</f>
        <v/>
      </c>
      <c r="U37" s="10">
        <f>IF(T36&lt;=0,0,T36*Inputs!$C$11)</f>
        <v/>
      </c>
      <c r="V37" s="10">
        <f>IF(U36&lt;=0,0,U36*Inputs!$C$11)</f>
        <v/>
      </c>
      <c r="W37" s="10">
        <f>IF(V36&lt;=0,0,V36*Inputs!$C$11)</f>
        <v/>
      </c>
      <c r="X37" s="10">
        <f>IF(W36&lt;=0,0,W36*Inputs!$C$11)</f>
        <v/>
      </c>
      <c r="Y37" s="10">
        <f>IF(X36&lt;=0,0,X36*Inputs!$C$11)</f>
        <v/>
      </c>
      <c r="Z37" s="10">
        <f>IF(Y36&lt;=0,0,Y36*Inputs!$C$11)</f>
        <v/>
      </c>
      <c r="AA37" s="10">
        <f>IF(Z36&lt;=0,0,Z36*Inputs!$C$11)</f>
        <v/>
      </c>
    </row>
    <row r="38">
      <c r="A38" s="4" t="inlineStr">
        <is>
          <t>Principal Payment ($)</t>
        </is>
      </c>
      <c r="B38" s="10" t="n">
        <v>0</v>
      </c>
      <c r="C38" s="10">
        <f>IF(B36&lt;=0,0,C39-C37)</f>
        <v/>
      </c>
      <c r="D38" s="10">
        <f>IF(B36&lt;=0,0,D39-D37)</f>
        <v/>
      </c>
      <c r="E38" s="10">
        <f>IF(B36&lt;=0,0,E39-E37)</f>
        <v/>
      </c>
      <c r="F38" s="10">
        <f>IF(B36&lt;=0,0,F39-F37)</f>
        <v/>
      </c>
      <c r="G38" s="10">
        <f>IF(B36&lt;=0,0,G39-G37)</f>
        <v/>
      </c>
      <c r="H38" s="10">
        <f>IF(B36&lt;=0,0,H39-H37)</f>
        <v/>
      </c>
      <c r="I38" s="10">
        <f>IF(B36&lt;=0,0,I39-I37)</f>
        <v/>
      </c>
      <c r="J38" s="10">
        <f>IF(B36&lt;=0,0,J39-J37)</f>
        <v/>
      </c>
      <c r="K38" s="10">
        <f>IF(B36&lt;=0,0,K39-K37)</f>
        <v/>
      </c>
      <c r="L38" s="10">
        <f>IF(B36&lt;=0,0,L39-L37)</f>
        <v/>
      </c>
      <c r="M38" s="10">
        <f>IF(B36&lt;=0,0,M39-M37)</f>
        <v/>
      </c>
      <c r="N38" s="10">
        <f>IF(B36&lt;=0,0,N39-N37)</f>
        <v/>
      </c>
      <c r="O38" s="10">
        <f>IF(B36&lt;=0,0,O39-O37)</f>
        <v/>
      </c>
      <c r="P38" s="10">
        <f>IF(B36&lt;=0,0,P39-P37)</f>
        <v/>
      </c>
      <c r="Q38" s="10">
        <f>IF(B36&lt;=0,0,Q39-Q37)</f>
        <v/>
      </c>
      <c r="R38" s="10">
        <f>IF(B36&lt;=0,0,R39-R37)</f>
        <v/>
      </c>
      <c r="S38" s="10">
        <f>IF(B36&lt;=0,0,S39-S37)</f>
        <v/>
      </c>
      <c r="T38" s="10">
        <f>IF(B36&lt;=0,0,T39-T37)</f>
        <v/>
      </c>
      <c r="U38" s="10">
        <f>IF(B36&lt;=0,0,U39-U37)</f>
        <v/>
      </c>
      <c r="V38" s="10">
        <f>IF(B36&lt;=0,0,V39-V37)</f>
        <v/>
      </c>
      <c r="W38" s="10">
        <f>IF(B36&lt;=0,0,W39-W37)</f>
        <v/>
      </c>
      <c r="X38" s="10">
        <f>IF(B36&lt;=0,0,X39-X37)</f>
        <v/>
      </c>
      <c r="Y38" s="10">
        <f>IF(B36&lt;=0,0,Y39-Y37)</f>
        <v/>
      </c>
      <c r="Z38" s="10">
        <f>IF(B36&lt;=0,0,Z39-Z37)</f>
        <v/>
      </c>
      <c r="AA38" s="10">
        <f>IF(B36&lt;=0,0,AA39-AA37)</f>
        <v/>
      </c>
    </row>
    <row r="39">
      <c r="A39" s="16" t="inlineStr">
        <is>
          <t>Total Payment — P&amp;I ($)</t>
        </is>
      </c>
      <c r="B39" s="10" t="n">
        <v>0</v>
      </c>
      <c r="C39" s="10">
        <f>IF(B36&lt;=0,0,ABS(PMT(Inputs!$C$11,Inputs!$C$13,B36,0)))</f>
        <v/>
      </c>
      <c r="D39" s="10">
        <f>IF(C36&lt;=0,0,ABS(PMT(Inputs!$C$11,Inputs!$C$13,B36,0)))</f>
        <v/>
      </c>
      <c r="E39" s="10">
        <f>IF(D36&lt;=0,0,ABS(PMT(Inputs!$C$11,Inputs!$C$13,B36,0)))</f>
        <v/>
      </c>
      <c r="F39" s="10">
        <f>IF(E36&lt;=0,0,ABS(PMT(Inputs!$C$11,Inputs!$C$13,B36,0)))</f>
        <v/>
      </c>
      <c r="G39" s="10">
        <f>IF(F36&lt;=0,0,ABS(PMT(Inputs!$C$11,Inputs!$C$13,B36,0)))</f>
        <v/>
      </c>
      <c r="H39" s="10">
        <f>IF(G36&lt;=0,0,ABS(PMT(Inputs!$C$11,Inputs!$C$13,B36,0)))</f>
        <v/>
      </c>
      <c r="I39" s="10">
        <f>IF(H36&lt;=0,0,ABS(PMT(Inputs!$C$11,Inputs!$C$13,B36,0)))</f>
        <v/>
      </c>
      <c r="J39" s="10">
        <f>IF(I36&lt;=0,0,ABS(PMT(Inputs!$C$11,Inputs!$C$13,B36,0)))</f>
        <v/>
      </c>
      <c r="K39" s="10">
        <f>IF(J36&lt;=0,0,ABS(PMT(Inputs!$C$11,Inputs!$C$13,B36,0)))</f>
        <v/>
      </c>
      <c r="L39" s="10">
        <f>IF(K36&lt;=0,0,ABS(PMT(Inputs!$C$11,Inputs!$C$13,B36,0)))</f>
        <v/>
      </c>
      <c r="M39" s="10">
        <f>IF(L36&lt;=0,0,ABS(PMT(Inputs!$C$11,Inputs!$C$13,B36,0)))</f>
        <v/>
      </c>
      <c r="N39" s="10">
        <f>IF(M36&lt;=0,0,ABS(PMT(Inputs!$C$11,Inputs!$C$13,B36,0)))</f>
        <v/>
      </c>
      <c r="O39" s="10">
        <f>IF(N36&lt;=0,0,ABS(PMT(Inputs!$C$11,Inputs!$C$13,B36,0)))</f>
        <v/>
      </c>
      <c r="P39" s="10">
        <f>IF(O36&lt;=0,0,ABS(PMT(Inputs!$C$11,Inputs!$C$13,B36,0)))</f>
        <v/>
      </c>
      <c r="Q39" s="10">
        <f>IF(P36&lt;=0,0,ABS(PMT(Inputs!$C$11,Inputs!$C$13,B36,0)))</f>
        <v/>
      </c>
      <c r="R39" s="10">
        <f>IF(Q36&lt;=0,0,ABS(PMT(Inputs!$C$11,Inputs!$C$13,B36,0)))</f>
        <v/>
      </c>
      <c r="S39" s="10">
        <f>IF(R36&lt;=0,0,ABS(PMT(Inputs!$C$11,Inputs!$C$13,B36,0)))</f>
        <v/>
      </c>
      <c r="T39" s="10">
        <f>IF(S36&lt;=0,0,ABS(PMT(Inputs!$C$11,Inputs!$C$13,B36,0)))</f>
        <v/>
      </c>
      <c r="U39" s="10">
        <f>IF(T36&lt;=0,0,ABS(PMT(Inputs!$C$11,Inputs!$C$13,B36,0)))</f>
        <v/>
      </c>
      <c r="V39" s="10">
        <f>IF(U36&lt;=0,0,ABS(PMT(Inputs!$C$11,Inputs!$C$13,B36,0)))</f>
        <v/>
      </c>
      <c r="W39" s="10">
        <f>IF(V36&lt;=0,0,ABS(PMT(Inputs!$C$11,Inputs!$C$13,B36,0)))</f>
        <v/>
      </c>
      <c r="X39" s="10">
        <f>IF(W36&lt;=0,0,ABS(PMT(Inputs!$C$11,Inputs!$C$13,B36,0)))</f>
        <v/>
      </c>
      <c r="Y39" s="10">
        <f>IF(X36&lt;=0,0,ABS(PMT(Inputs!$C$11,Inputs!$C$13,B36,0)))</f>
        <v/>
      </c>
      <c r="Z39" s="10">
        <f>IF(Y36&lt;=0,0,ABS(PMT(Inputs!$C$11,Inputs!$C$13,B36,0)))</f>
        <v/>
      </c>
      <c r="AA39" s="10">
        <f>IF(Z36&lt;=0,0,ABS(PMT(Inputs!$C$11,Inputs!$C$13,B36,0)))</f>
        <v/>
      </c>
      <c r="AB39" s="10">
        <f>SUM(C39:AA39)</f>
        <v/>
      </c>
      <c r="AC39" s="10">
        <f>NPV(Inputs!$C$12,C39:AA39)</f>
        <v/>
      </c>
    </row>
    <row r="41">
      <c r="A41" s="4" t="inlineStr">
        <is>
          <t>Elec. Bill — No System ($)</t>
        </is>
      </c>
      <c r="B41" s="10" t="n">
        <v>0</v>
      </c>
      <c r="C41" s="15">
        <f>Inputs!C25</f>
        <v/>
      </c>
      <c r="D41" s="10">
        <f>C41*(1+Inputs!$C$14)</f>
        <v/>
      </c>
      <c r="E41" s="10">
        <f>D41*(1+Inputs!$C$14)</f>
        <v/>
      </c>
      <c r="F41" s="10">
        <f>E41*(1+Inputs!$C$14)</f>
        <v/>
      </c>
      <c r="G41" s="10">
        <f>F41*(1+Inputs!$C$14)</f>
        <v/>
      </c>
      <c r="H41" s="10">
        <f>G41*(1+Inputs!$C$14)</f>
        <v/>
      </c>
      <c r="I41" s="10">
        <f>H41*(1+Inputs!$C$14)</f>
        <v/>
      </c>
      <c r="J41" s="10">
        <f>I41*(1+Inputs!$C$14)</f>
        <v/>
      </c>
      <c r="K41" s="10">
        <f>J41*(1+Inputs!$C$14)</f>
        <v/>
      </c>
      <c r="L41" s="10">
        <f>K41*(1+Inputs!$C$14)</f>
        <v/>
      </c>
      <c r="M41" s="10">
        <f>L41*(1+Inputs!$C$14)</f>
        <v/>
      </c>
      <c r="N41" s="10">
        <f>M41*(1+Inputs!$C$14)</f>
        <v/>
      </c>
      <c r="O41" s="10">
        <f>N41*(1+Inputs!$C$14)</f>
        <v/>
      </c>
      <c r="P41" s="10">
        <f>O41*(1+Inputs!$C$14)</f>
        <v/>
      </c>
      <c r="Q41" s="10">
        <f>P41*(1+Inputs!$C$14)</f>
        <v/>
      </c>
      <c r="R41" s="10">
        <f>Q41*(1+Inputs!$C$14)</f>
        <v/>
      </c>
      <c r="S41" s="10">
        <f>R41*(1+Inputs!$C$14)</f>
        <v/>
      </c>
      <c r="T41" s="10">
        <f>S41*(1+Inputs!$C$14)</f>
        <v/>
      </c>
      <c r="U41" s="10">
        <f>T41*(1+Inputs!$C$14)</f>
        <v/>
      </c>
      <c r="V41" s="10">
        <f>U41*(1+Inputs!$C$14)</f>
        <v/>
      </c>
      <c r="W41" s="10">
        <f>V41*(1+Inputs!$C$14)</f>
        <v/>
      </c>
      <c r="X41" s="10">
        <f>W41*(1+Inputs!$C$14)</f>
        <v/>
      </c>
      <c r="Y41" s="10">
        <f>X41*(1+Inputs!$C$14)</f>
        <v/>
      </c>
      <c r="Z41" s="10">
        <f>Y41*(1+Inputs!$C$14)</f>
        <v/>
      </c>
      <c r="AA41" s="10">
        <f>Z41*(1+Inputs!$C$14)</f>
        <v/>
      </c>
    </row>
    <row r="42">
      <c r="A42" s="4" t="inlineStr">
        <is>
          <t>Elec. Bill — With System ($)</t>
        </is>
      </c>
      <c r="B42" s="10" t="n">
        <v>0</v>
      </c>
      <c r="C42" s="15">
        <f>Inputs!D25</f>
        <v/>
      </c>
      <c r="D42" s="10">
        <f>C42*(1+Inputs!$C$14)</f>
        <v/>
      </c>
      <c r="E42" s="10">
        <f>D42*(1+Inputs!$C$14)</f>
        <v/>
      </c>
      <c r="F42" s="10">
        <f>E42*(1+Inputs!$C$14)</f>
        <v/>
      </c>
      <c r="G42" s="10">
        <f>F42*(1+Inputs!$C$14)</f>
        <v/>
      </c>
      <c r="H42" s="10">
        <f>G42*(1+Inputs!$C$14)</f>
        <v/>
      </c>
      <c r="I42" s="10">
        <f>H42*(1+Inputs!$C$14)</f>
        <v/>
      </c>
      <c r="J42" s="10">
        <f>I42*(1+Inputs!$C$14)</f>
        <v/>
      </c>
      <c r="K42" s="10">
        <f>J42*(1+Inputs!$C$14)</f>
        <v/>
      </c>
      <c r="L42" s="10">
        <f>K42*(1+Inputs!$C$14)</f>
        <v/>
      </c>
      <c r="M42" s="10">
        <f>L42*(1+Inputs!$C$14)</f>
        <v/>
      </c>
      <c r="N42" s="10">
        <f>M42*(1+Inputs!$C$14)</f>
        <v/>
      </c>
      <c r="O42" s="10">
        <f>N42*(1+Inputs!$C$14)</f>
        <v/>
      </c>
      <c r="P42" s="10">
        <f>O42*(1+Inputs!$C$14)</f>
        <v/>
      </c>
      <c r="Q42" s="10">
        <f>P42*(1+Inputs!$C$14)</f>
        <v/>
      </c>
      <c r="R42" s="10">
        <f>Q42*(1+Inputs!$C$14)</f>
        <v/>
      </c>
      <c r="S42" s="10">
        <f>R42*(1+Inputs!$C$14)</f>
        <v/>
      </c>
      <c r="T42" s="10">
        <f>S42*(1+Inputs!$C$14)</f>
        <v/>
      </c>
      <c r="U42" s="10">
        <f>T42*(1+Inputs!$C$14)</f>
        <v/>
      </c>
      <c r="V42" s="10">
        <f>U42*(1+Inputs!$C$14)</f>
        <v/>
      </c>
      <c r="W42" s="10">
        <f>V42*(1+Inputs!$C$14)</f>
        <v/>
      </c>
      <c r="X42" s="10">
        <f>W42*(1+Inputs!$C$14)</f>
        <v/>
      </c>
      <c r="Y42" s="10">
        <f>X42*(1+Inputs!$C$14)</f>
        <v/>
      </c>
      <c r="Z42" s="10">
        <f>Y42*(1+Inputs!$C$14)</f>
        <v/>
      </c>
      <c r="AA42" s="10">
        <f>Z42*(1+Inputs!$C$14)</f>
        <v/>
      </c>
    </row>
    <row r="43">
      <c r="A43" s="4" t="inlineStr">
        <is>
          <t>Bill Savings ($)</t>
        </is>
      </c>
      <c r="B43" s="10" t="n">
        <v>0</v>
      </c>
      <c r="C43" s="10">
        <f>C41-C42</f>
        <v/>
      </c>
      <c r="D43" s="10">
        <f>D41-D42</f>
        <v/>
      </c>
      <c r="E43" s="10">
        <f>E41-E42</f>
        <v/>
      </c>
      <c r="F43" s="10">
        <f>F41-F42</f>
        <v/>
      </c>
      <c r="G43" s="10">
        <f>G41-G42</f>
        <v/>
      </c>
      <c r="H43" s="10">
        <f>H41-H42</f>
        <v/>
      </c>
      <c r="I43" s="10">
        <f>I41-I42</f>
        <v/>
      </c>
      <c r="J43" s="10">
        <f>J41-J42</f>
        <v/>
      </c>
      <c r="K43" s="10">
        <f>K41-K42</f>
        <v/>
      </c>
      <c r="L43" s="10">
        <f>L41-L42</f>
        <v/>
      </c>
      <c r="M43" s="10">
        <f>M41-M42</f>
        <v/>
      </c>
      <c r="N43" s="10">
        <f>N41-N42</f>
        <v/>
      </c>
      <c r="O43" s="10">
        <f>O41-O42</f>
        <v/>
      </c>
      <c r="P43" s="10">
        <f>P41-P42</f>
        <v/>
      </c>
      <c r="Q43" s="10">
        <f>Q41-Q42</f>
        <v/>
      </c>
      <c r="R43" s="10">
        <f>R41-R42</f>
        <v/>
      </c>
      <c r="S43" s="10">
        <f>S41-S42</f>
        <v/>
      </c>
      <c r="T43" s="10">
        <f>T41-T42</f>
        <v/>
      </c>
      <c r="U43" s="10">
        <f>U41-U42</f>
        <v/>
      </c>
      <c r="V43" s="10">
        <f>V41-V42</f>
        <v/>
      </c>
      <c r="W43" s="10">
        <f>W41-W42</f>
        <v/>
      </c>
      <c r="X43" s="10">
        <f>X41-X42</f>
        <v/>
      </c>
      <c r="Y43" s="10">
        <f>Y41-Y42</f>
        <v/>
      </c>
      <c r="Z43" s="10">
        <f>Z41-Z42</f>
        <v/>
      </c>
      <c r="AA43" s="10">
        <f>AA41-AA42</f>
        <v/>
      </c>
      <c r="AB43" s="10">
        <f>SUM(C43:AA43)</f>
        <v/>
      </c>
      <c r="AC43" s="10">
        <f>NPV(Inputs!$C$12,C43:AA43)</f>
        <v/>
      </c>
    </row>
    <row r="44">
      <c r="A44" s="4" t="inlineStr">
        <is>
          <t>Incentive Savings — Annual ($)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>
        <f>SUM(C44:AA44)</f>
        <v/>
      </c>
      <c r="AC44" s="10">
        <f>NPV(Inputs!$C$12,C44:AA44)</f>
        <v/>
      </c>
    </row>
    <row r="45">
      <c r="A45" s="16" t="inlineStr">
        <is>
          <t>Total Savings ($)</t>
        </is>
      </c>
      <c r="B45" s="10">
        <f>B43+B44</f>
        <v/>
      </c>
      <c r="C45" s="10">
        <f>C43+C44</f>
        <v/>
      </c>
      <c r="D45" s="10">
        <f>D43+D44</f>
        <v/>
      </c>
      <c r="E45" s="10">
        <f>E43+E44</f>
        <v/>
      </c>
      <c r="F45" s="10">
        <f>F43+F44</f>
        <v/>
      </c>
      <c r="G45" s="10">
        <f>G43+G44</f>
        <v/>
      </c>
      <c r="H45" s="10">
        <f>H43+H44</f>
        <v/>
      </c>
      <c r="I45" s="10">
        <f>I43+I44</f>
        <v/>
      </c>
      <c r="J45" s="10">
        <f>J43+J44</f>
        <v/>
      </c>
      <c r="K45" s="10">
        <f>K43+K44</f>
        <v/>
      </c>
      <c r="L45" s="10">
        <f>L43+L44</f>
        <v/>
      </c>
      <c r="M45" s="10">
        <f>M43+M44</f>
        <v/>
      </c>
      <c r="N45" s="10">
        <f>N43+N44</f>
        <v/>
      </c>
      <c r="O45" s="10">
        <f>O43+O44</f>
        <v/>
      </c>
      <c r="P45" s="10">
        <f>P43+P44</f>
        <v/>
      </c>
      <c r="Q45" s="10">
        <f>Q43+Q44</f>
        <v/>
      </c>
      <c r="R45" s="10">
        <f>R43+R44</f>
        <v/>
      </c>
      <c r="S45" s="10">
        <f>S43+S44</f>
        <v/>
      </c>
      <c r="T45" s="10">
        <f>T43+T44</f>
        <v/>
      </c>
      <c r="U45" s="10">
        <f>U43+U44</f>
        <v/>
      </c>
      <c r="V45" s="10">
        <f>V43+V44</f>
        <v/>
      </c>
      <c r="W45" s="10">
        <f>W43+W44</f>
        <v/>
      </c>
      <c r="X45" s="10">
        <f>X43+X44</f>
        <v/>
      </c>
      <c r="Y45" s="10">
        <f>Y43+Y44</f>
        <v/>
      </c>
      <c r="Z45" s="10">
        <f>Z43+Z44</f>
        <v/>
      </c>
      <c r="AA45" s="10">
        <f>AA43+AA44</f>
        <v/>
      </c>
      <c r="AB45" s="10">
        <f>SUM(C45:AA45)</f>
        <v/>
      </c>
      <c r="AC45" s="10">
        <f>NPV(Inputs!$C$12,C45:AA45)</f>
        <v/>
      </c>
    </row>
    <row r="46">
      <c r="A46" s="17" t="inlineStr">
        <is>
          <t>Net Savings ($)</t>
        </is>
      </c>
      <c r="B46" s="18">
        <f>B45-B39</f>
        <v/>
      </c>
      <c r="C46" s="18">
        <f>C45-C39</f>
        <v/>
      </c>
      <c r="D46" s="18">
        <f>D45-D39</f>
        <v/>
      </c>
      <c r="E46" s="18">
        <f>E45-E39</f>
        <v/>
      </c>
      <c r="F46" s="18">
        <f>F45-F39</f>
        <v/>
      </c>
      <c r="G46" s="18">
        <f>G45-G39</f>
        <v/>
      </c>
      <c r="H46" s="18">
        <f>H45-H39</f>
        <v/>
      </c>
      <c r="I46" s="18">
        <f>I45-I39</f>
        <v/>
      </c>
      <c r="J46" s="18">
        <f>J45-J39</f>
        <v/>
      </c>
      <c r="K46" s="18">
        <f>K45-K39</f>
        <v/>
      </c>
      <c r="L46" s="18">
        <f>L45-L39</f>
        <v/>
      </c>
      <c r="M46" s="18">
        <f>M45-M39</f>
        <v/>
      </c>
      <c r="N46" s="18">
        <f>N45-N39</f>
        <v/>
      </c>
      <c r="O46" s="18">
        <f>O45-O39</f>
        <v/>
      </c>
      <c r="P46" s="18">
        <f>P45-P39</f>
        <v/>
      </c>
      <c r="Q46" s="18">
        <f>Q45-Q39</f>
        <v/>
      </c>
      <c r="R46" s="18">
        <f>R45-R39</f>
        <v/>
      </c>
      <c r="S46" s="18">
        <f>S45-S39</f>
        <v/>
      </c>
      <c r="T46" s="18">
        <f>T45-T39</f>
        <v/>
      </c>
      <c r="U46" s="18">
        <f>U45-U39</f>
        <v/>
      </c>
      <c r="V46" s="18">
        <f>V45-V39</f>
        <v/>
      </c>
      <c r="W46" s="18">
        <f>W45-W39</f>
        <v/>
      </c>
      <c r="X46" s="18">
        <f>X45-X39</f>
        <v/>
      </c>
      <c r="Y46" s="18">
        <f>Y45-Y39</f>
        <v/>
      </c>
      <c r="Z46" s="18">
        <f>Z45-Z39</f>
        <v/>
      </c>
      <c r="AA46" s="18">
        <f>AA45-AA39</f>
        <v/>
      </c>
      <c r="AB46" s="18">
        <f>SUM(C46:AA46)</f>
        <v/>
      </c>
      <c r="AC46" s="18">
        <f>NPV(Inputs!$C$12,C46:AA46)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PV + Storage — Bridge (NMB/TOU) Rate</t>
        </is>
      </c>
    </row>
    <row r="2">
      <c r="A2" s="2" t="inlineStr">
        <is>
          <t>All formulas reference Inputs sheet</t>
        </is>
      </c>
    </row>
    <row r="4">
      <c r="A4" s="3" t="inlineStr">
        <is>
          <t>Scenario 1: FedITC + State Incentives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Inputs!C5-Inputs!C18-Inputs!C20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— P&amp;I ($)</t>
        </is>
      </c>
      <c r="B9" s="10" t="n">
        <v>0</v>
      </c>
      <c r="C9" s="10">
        <f>IF(B6&lt;=0,0,ABS(PMT(Inputs!$C$11,Inputs!$C$13,B6,0)))</f>
        <v/>
      </c>
      <c r="D9" s="10">
        <f>IF(C6&lt;=0,0,ABS(PMT(Inputs!$C$11,Inputs!$C$13,B6,0)))</f>
        <v/>
      </c>
      <c r="E9" s="10">
        <f>IF(D6&lt;=0,0,ABS(PMT(Inputs!$C$11,Inputs!$C$13,B6,0)))</f>
        <v/>
      </c>
      <c r="F9" s="10">
        <f>IF(E6&lt;=0,0,ABS(PMT(Inputs!$C$11,Inputs!$C$13,B6,0)))</f>
        <v/>
      </c>
      <c r="G9" s="10">
        <f>IF(F6&lt;=0,0,ABS(PMT(Inputs!$C$11,Inputs!$C$13,B6,0)))</f>
        <v/>
      </c>
      <c r="H9" s="10">
        <f>IF(G6&lt;=0,0,ABS(PMT(Inputs!$C$11,Inputs!$C$13,B6,0)))</f>
        <v/>
      </c>
      <c r="I9" s="10">
        <f>IF(H6&lt;=0,0,ABS(PMT(Inputs!$C$11,Inputs!$C$13,B6,0)))</f>
        <v/>
      </c>
      <c r="J9" s="10">
        <f>IF(I6&lt;=0,0,ABS(PMT(Inputs!$C$11,Inputs!$C$13,B6,0)))</f>
        <v/>
      </c>
      <c r="K9" s="10">
        <f>IF(J6&lt;=0,0,ABS(PMT(Inputs!$C$11,Inputs!$C$13,B6,0)))</f>
        <v/>
      </c>
      <c r="L9" s="10">
        <f>IF(K6&lt;=0,0,ABS(PMT(Inputs!$C$11,Inputs!$C$13,B6,0)))</f>
        <v/>
      </c>
      <c r="M9" s="10">
        <f>IF(L6&lt;=0,0,ABS(PMT(Inputs!$C$11,Inputs!$C$13,B6,0)))</f>
        <v/>
      </c>
      <c r="N9" s="10">
        <f>IF(M6&lt;=0,0,ABS(PMT(Inputs!$C$11,Inputs!$C$13,B6,0)))</f>
        <v/>
      </c>
      <c r="O9" s="10">
        <f>IF(N6&lt;=0,0,ABS(PMT(Inputs!$C$11,Inputs!$C$13,B6,0)))</f>
        <v/>
      </c>
      <c r="P9" s="10">
        <f>IF(O6&lt;=0,0,ABS(PMT(Inputs!$C$11,Inputs!$C$13,B6,0)))</f>
        <v/>
      </c>
      <c r="Q9" s="10">
        <f>IF(P6&lt;=0,0,ABS(PMT(Inputs!$C$11,Inputs!$C$13,B6,0)))</f>
        <v/>
      </c>
      <c r="R9" s="10">
        <f>IF(Q6&lt;=0,0,ABS(PMT(Inputs!$C$11,Inputs!$C$13,B6,0)))</f>
        <v/>
      </c>
      <c r="S9" s="10">
        <f>IF(R6&lt;=0,0,ABS(PMT(Inputs!$C$11,Inputs!$C$13,B6,0)))</f>
        <v/>
      </c>
      <c r="T9" s="10">
        <f>IF(S6&lt;=0,0,ABS(PMT(Inputs!$C$11,Inputs!$C$13,B6,0)))</f>
        <v/>
      </c>
      <c r="U9" s="10">
        <f>IF(T6&lt;=0,0,ABS(PMT(Inputs!$C$11,Inputs!$C$13,B6,0)))</f>
        <v/>
      </c>
      <c r="V9" s="10">
        <f>IF(U6&lt;=0,0,ABS(PMT(Inputs!$C$11,Inputs!$C$13,B6,0)))</f>
        <v/>
      </c>
      <c r="W9" s="10">
        <f>IF(V6&lt;=0,0,ABS(PMT(Inputs!$C$11,Inputs!$C$13,B6,0)))</f>
        <v/>
      </c>
      <c r="X9" s="10">
        <f>IF(W6&lt;=0,0,ABS(PMT(Inputs!$C$11,Inputs!$C$13,B6,0)))</f>
        <v/>
      </c>
      <c r="Y9" s="10">
        <f>IF(X6&lt;=0,0,ABS(PMT(Inputs!$C$11,Inputs!$C$13,B6,0)))</f>
        <v/>
      </c>
      <c r="Z9" s="10">
        <f>IF(Y6&lt;=0,0,ABS(PMT(Inputs!$C$11,Inputs!$C$13,B6,0)))</f>
        <v/>
      </c>
      <c r="AA9" s="10">
        <f>IF(Z6&lt;=0,0,ABS(PMT(Inputs!$C$11,Inputs!$C$13,B6,0)))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— No System ($)</t>
        </is>
      </c>
      <c r="B11" s="10" t="n">
        <v>0</v>
      </c>
      <c r="C11" s="15">
        <f>Inputs!C26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— With System ($)</t>
        </is>
      </c>
      <c r="B12" s="10" t="n">
        <v>0</v>
      </c>
      <c r="C12" s="15">
        <f>Inputs!D26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4" t="inlineStr">
        <is>
          <t>Incentive Savings — Annual ($)</t>
        </is>
      </c>
      <c r="B14" s="10" t="n">
        <v>0</v>
      </c>
      <c r="C14" s="15">
        <f>Inputs!$C$21</f>
        <v/>
      </c>
      <c r="D14" s="15">
        <f>Inputs!$C$21</f>
        <v/>
      </c>
      <c r="E14" s="15">
        <f>Inputs!$C$21</f>
        <v/>
      </c>
      <c r="F14" s="15">
        <f>Inputs!$C$21</f>
        <v/>
      </c>
      <c r="G14" s="15">
        <f>Inputs!$C$21</f>
        <v/>
      </c>
      <c r="H14" s="15">
        <f>Inputs!$C$21</f>
        <v/>
      </c>
      <c r="I14" s="15">
        <f>Inputs!$C$21</f>
        <v/>
      </c>
      <c r="J14" s="15">
        <f>Inputs!$C$21</f>
        <v/>
      </c>
      <c r="K14" s="15">
        <f>Inputs!$C$21</f>
        <v/>
      </c>
      <c r="L14" s="15">
        <f>Inputs!$C$21</f>
        <v/>
      </c>
      <c r="M14" s="15">
        <f>Inputs!$C$21</f>
        <v/>
      </c>
      <c r="N14" s="15">
        <f>Inputs!$C$21</f>
        <v/>
      </c>
      <c r="O14" s="15">
        <f>Inputs!$C$21</f>
        <v/>
      </c>
      <c r="P14" s="15">
        <f>Inputs!$C$21</f>
        <v/>
      </c>
      <c r="Q14" s="15">
        <f>Inputs!$C$21</f>
        <v/>
      </c>
      <c r="R14" s="15">
        <f>Inputs!$C$21</f>
        <v/>
      </c>
      <c r="S14" s="15">
        <f>Inputs!$C$21</f>
        <v/>
      </c>
      <c r="T14" s="15">
        <f>Inputs!$C$21</f>
        <v/>
      </c>
      <c r="U14" s="15">
        <f>Inputs!$C$21</f>
        <v/>
      </c>
      <c r="V14" s="15">
        <f>Inputs!$C$21</f>
        <v/>
      </c>
      <c r="W14" s="15">
        <f>Inputs!$C$21</f>
        <v/>
      </c>
      <c r="X14" s="15">
        <f>Inputs!$C$21</f>
        <v/>
      </c>
      <c r="Y14" s="15">
        <f>Inputs!$C$21</f>
        <v/>
      </c>
      <c r="Z14" s="15">
        <f>Inputs!$C$21</f>
        <v/>
      </c>
      <c r="AA14" s="15">
        <f>Inputs!$C$21</f>
        <v/>
      </c>
      <c r="AB14" s="10">
        <f>SUM(C14:AA14)</f>
        <v/>
      </c>
      <c r="AC14" s="10">
        <f>NPV(Inputs!$C$12,C14:AA14)</f>
        <v/>
      </c>
    </row>
    <row r="15">
      <c r="A15" s="16" t="inlineStr">
        <is>
          <t>Total Savings ($)</t>
        </is>
      </c>
      <c r="B15" s="10">
        <f>B13+B14</f>
        <v/>
      </c>
      <c r="C15" s="10">
        <f>C13+C14</f>
        <v/>
      </c>
      <c r="D15" s="10">
        <f>D13+D14</f>
        <v/>
      </c>
      <c r="E15" s="10">
        <f>E13+E14</f>
        <v/>
      </c>
      <c r="F15" s="10">
        <f>F13+F14</f>
        <v/>
      </c>
      <c r="G15" s="10">
        <f>G13+G14</f>
        <v/>
      </c>
      <c r="H15" s="10">
        <f>H13+H14</f>
        <v/>
      </c>
      <c r="I15" s="10">
        <f>I13+I14</f>
        <v/>
      </c>
      <c r="J15" s="10">
        <f>J13+J14</f>
        <v/>
      </c>
      <c r="K15" s="10">
        <f>K13+K14</f>
        <v/>
      </c>
      <c r="L15" s="10">
        <f>L13+L14</f>
        <v/>
      </c>
      <c r="M15" s="10">
        <f>M13+M14</f>
        <v/>
      </c>
      <c r="N15" s="10">
        <f>N13+N14</f>
        <v/>
      </c>
      <c r="O15" s="10">
        <f>O13+O14</f>
        <v/>
      </c>
      <c r="P15" s="10">
        <f>P13+P14</f>
        <v/>
      </c>
      <c r="Q15" s="10">
        <f>Q13+Q14</f>
        <v/>
      </c>
      <c r="R15" s="10">
        <f>R13+R14</f>
        <v/>
      </c>
      <c r="S15" s="10">
        <f>S13+S14</f>
        <v/>
      </c>
      <c r="T15" s="10">
        <f>T13+T14</f>
        <v/>
      </c>
      <c r="U15" s="10">
        <f>U13+U14</f>
        <v/>
      </c>
      <c r="V15" s="10">
        <f>V13+V14</f>
        <v/>
      </c>
      <c r="W15" s="10">
        <f>W13+W14</f>
        <v/>
      </c>
      <c r="X15" s="10">
        <f>X13+X14</f>
        <v/>
      </c>
      <c r="Y15" s="10">
        <f>Y13+Y14</f>
        <v/>
      </c>
      <c r="Z15" s="10">
        <f>Z13+Z14</f>
        <v/>
      </c>
      <c r="AA15" s="10">
        <f>AA13+AA14</f>
        <v/>
      </c>
      <c r="AB15" s="10">
        <f>SUM(C15:AA15)</f>
        <v/>
      </c>
      <c r="AC15" s="10">
        <f>NPV(Inputs!$C$12,C15:AA15)</f>
        <v/>
      </c>
    </row>
    <row r="16">
      <c r="A16" s="17" t="inlineStr">
        <is>
          <t>Net Savings ($)</t>
        </is>
      </c>
      <c r="B16" s="18">
        <f>B15-B9</f>
        <v/>
      </c>
      <c r="C16" s="18">
        <f>C15-C9</f>
        <v/>
      </c>
      <c r="D16" s="18">
        <f>D15-D9</f>
        <v/>
      </c>
      <c r="E16" s="18">
        <f>E15-E9</f>
        <v/>
      </c>
      <c r="F16" s="18">
        <f>F15-F9</f>
        <v/>
      </c>
      <c r="G16" s="18">
        <f>G15-G9</f>
        <v/>
      </c>
      <c r="H16" s="18">
        <f>H15-H9</f>
        <v/>
      </c>
      <c r="I16" s="18">
        <f>I15-I9</f>
        <v/>
      </c>
      <c r="J16" s="18">
        <f>J15-J9</f>
        <v/>
      </c>
      <c r="K16" s="18">
        <f>K15-K9</f>
        <v/>
      </c>
      <c r="L16" s="18">
        <f>L15-L9</f>
        <v/>
      </c>
      <c r="M16" s="18">
        <f>M15-M9</f>
        <v/>
      </c>
      <c r="N16" s="18">
        <f>N15-N9</f>
        <v/>
      </c>
      <c r="O16" s="18">
        <f>O15-O9</f>
        <v/>
      </c>
      <c r="P16" s="18">
        <f>P15-P9</f>
        <v/>
      </c>
      <c r="Q16" s="18">
        <f>Q15-Q9</f>
        <v/>
      </c>
      <c r="R16" s="18">
        <f>R15-R9</f>
        <v/>
      </c>
      <c r="S16" s="18">
        <f>S15-S9</f>
        <v/>
      </c>
      <c r="T16" s="18">
        <f>T15-T9</f>
        <v/>
      </c>
      <c r="U16" s="18">
        <f>U15-U9</f>
        <v/>
      </c>
      <c r="V16" s="18">
        <f>V15-V9</f>
        <v/>
      </c>
      <c r="W16" s="18">
        <f>W15-W9</f>
        <v/>
      </c>
      <c r="X16" s="18">
        <f>X15-X9</f>
        <v/>
      </c>
      <c r="Y16" s="18">
        <f>Y15-Y9</f>
        <v/>
      </c>
      <c r="Z16" s="18">
        <f>Z15-Z9</f>
        <v/>
      </c>
      <c r="AA16" s="18">
        <f>AA15-AA9</f>
        <v/>
      </c>
      <c r="AB16" s="18">
        <f>SUM(C16:AA16)</f>
        <v/>
      </c>
      <c r="AC16" s="18">
        <f>NPV(Inputs!$C$12,C16:AA16)</f>
        <v/>
      </c>
    </row>
    <row r="19">
      <c r="A19" s="3" t="inlineStr">
        <is>
          <t>Scenario 2: State Incentives Only (No FedITC)</t>
        </is>
      </c>
    </row>
    <row r="20">
      <c r="A20" s="13" t="inlineStr">
        <is>
          <t>Year</t>
        </is>
      </c>
      <c r="B20" s="14" t="n">
        <v>0</v>
      </c>
      <c r="C20" s="14" t="n">
        <v>1</v>
      </c>
      <c r="D20" s="14" t="n">
        <v>2</v>
      </c>
      <c r="E20" s="14" t="n">
        <v>3</v>
      </c>
      <c r="F20" s="14" t="n">
        <v>4</v>
      </c>
      <c r="G20" s="14" t="n">
        <v>5</v>
      </c>
      <c r="H20" s="14" t="n">
        <v>6</v>
      </c>
      <c r="I20" s="14" t="n">
        <v>7</v>
      </c>
      <c r="J20" s="14" t="n">
        <v>8</v>
      </c>
      <c r="K20" s="14" t="n">
        <v>9</v>
      </c>
      <c r="L20" s="14" t="n">
        <v>10</v>
      </c>
      <c r="M20" s="14" t="n">
        <v>11</v>
      </c>
      <c r="N20" s="14" t="n">
        <v>12</v>
      </c>
      <c r="O20" s="14" t="n">
        <v>13</v>
      </c>
      <c r="P20" s="14" t="n">
        <v>14</v>
      </c>
      <c r="Q20" s="14" t="n">
        <v>15</v>
      </c>
      <c r="R20" s="14" t="n">
        <v>16</v>
      </c>
      <c r="S20" s="14" t="n">
        <v>17</v>
      </c>
      <c r="T20" s="14" t="n">
        <v>18</v>
      </c>
      <c r="U20" s="14" t="n">
        <v>19</v>
      </c>
      <c r="V20" s="14" t="n">
        <v>20</v>
      </c>
      <c r="W20" s="14" t="n">
        <v>21</v>
      </c>
      <c r="X20" s="14" t="n">
        <v>22</v>
      </c>
      <c r="Y20" s="14" t="n">
        <v>23</v>
      </c>
      <c r="Z20" s="14" t="n">
        <v>24</v>
      </c>
      <c r="AA20" s="14" t="n">
        <v>25</v>
      </c>
      <c r="AB20" s="13" t="inlineStr">
        <is>
          <t>25yr Total</t>
        </is>
      </c>
      <c r="AC20" s="13" t="inlineStr">
        <is>
          <t>25yr NPV</t>
        </is>
      </c>
    </row>
    <row r="21">
      <c r="A21" s="4" t="inlineStr">
        <is>
          <t>Debt Balance ($)</t>
        </is>
      </c>
      <c r="B21" s="15">
        <f>Inputs!C5-Inputs!C20</f>
        <v/>
      </c>
      <c r="C21" s="10">
        <f>MAX(0,B21-C23)</f>
        <v/>
      </c>
      <c r="D21" s="10">
        <f>MAX(0,C21-D23)</f>
        <v/>
      </c>
      <c r="E21" s="10">
        <f>MAX(0,D21-E23)</f>
        <v/>
      </c>
      <c r="F21" s="10">
        <f>MAX(0,E21-F23)</f>
        <v/>
      </c>
      <c r="G21" s="10">
        <f>MAX(0,F21-G23)</f>
        <v/>
      </c>
      <c r="H21" s="10">
        <f>MAX(0,G21-H23)</f>
        <v/>
      </c>
      <c r="I21" s="10">
        <f>MAX(0,H21-I23)</f>
        <v/>
      </c>
      <c r="J21" s="10">
        <f>MAX(0,I21-J23)</f>
        <v/>
      </c>
      <c r="K21" s="10">
        <f>MAX(0,J21-K23)</f>
        <v/>
      </c>
      <c r="L21" s="10">
        <f>MAX(0,K21-L23)</f>
        <v/>
      </c>
      <c r="M21" s="10">
        <f>MAX(0,L21-M23)</f>
        <v/>
      </c>
      <c r="N21" s="10">
        <f>MAX(0,M21-N23)</f>
        <v/>
      </c>
      <c r="O21" s="10">
        <f>MAX(0,N21-O23)</f>
        <v/>
      </c>
      <c r="P21" s="10">
        <f>MAX(0,O21-P23)</f>
        <v/>
      </c>
      <c r="Q21" s="10">
        <f>MAX(0,P21-Q23)</f>
        <v/>
      </c>
      <c r="R21" s="10">
        <f>MAX(0,Q21-R23)</f>
        <v/>
      </c>
      <c r="S21" s="10">
        <f>MAX(0,R21-S23)</f>
        <v/>
      </c>
      <c r="T21" s="10">
        <f>MAX(0,S21-T23)</f>
        <v/>
      </c>
      <c r="U21" s="10">
        <f>MAX(0,T21-U23)</f>
        <v/>
      </c>
      <c r="V21" s="10">
        <f>MAX(0,U21-V23)</f>
        <v/>
      </c>
      <c r="W21" s="10">
        <f>MAX(0,V21-W23)</f>
        <v/>
      </c>
      <c r="X21" s="10">
        <f>MAX(0,W21-X23)</f>
        <v/>
      </c>
      <c r="Y21" s="10">
        <f>MAX(0,X21-Y23)</f>
        <v/>
      </c>
      <c r="Z21" s="10">
        <f>MAX(0,Y21-Z23)</f>
        <v/>
      </c>
      <c r="AA21" s="10">
        <f>MAX(0,Z21-AA23)</f>
        <v/>
      </c>
    </row>
    <row r="22">
      <c r="A22" s="4" t="inlineStr">
        <is>
          <t>Interest Payment ($)</t>
        </is>
      </c>
      <c r="B22" s="10" t="n">
        <v>0</v>
      </c>
      <c r="C22" s="10">
        <f>IF(B21&lt;=0,0,B21*Inputs!$C$11)</f>
        <v/>
      </c>
      <c r="D22" s="10">
        <f>IF(C21&lt;=0,0,C21*Inputs!$C$11)</f>
        <v/>
      </c>
      <c r="E22" s="10">
        <f>IF(D21&lt;=0,0,D21*Inputs!$C$11)</f>
        <v/>
      </c>
      <c r="F22" s="10">
        <f>IF(E21&lt;=0,0,E21*Inputs!$C$11)</f>
        <v/>
      </c>
      <c r="G22" s="10">
        <f>IF(F21&lt;=0,0,F21*Inputs!$C$11)</f>
        <v/>
      </c>
      <c r="H22" s="10">
        <f>IF(G21&lt;=0,0,G21*Inputs!$C$11)</f>
        <v/>
      </c>
      <c r="I22" s="10">
        <f>IF(H21&lt;=0,0,H21*Inputs!$C$11)</f>
        <v/>
      </c>
      <c r="J22" s="10">
        <f>IF(I21&lt;=0,0,I21*Inputs!$C$11)</f>
        <v/>
      </c>
      <c r="K22" s="10">
        <f>IF(J21&lt;=0,0,J21*Inputs!$C$11)</f>
        <v/>
      </c>
      <c r="L22" s="10">
        <f>IF(K21&lt;=0,0,K21*Inputs!$C$11)</f>
        <v/>
      </c>
      <c r="M22" s="10">
        <f>IF(L21&lt;=0,0,L21*Inputs!$C$11)</f>
        <v/>
      </c>
      <c r="N22" s="10">
        <f>IF(M21&lt;=0,0,M21*Inputs!$C$11)</f>
        <v/>
      </c>
      <c r="O22" s="10">
        <f>IF(N21&lt;=0,0,N21*Inputs!$C$11)</f>
        <v/>
      </c>
      <c r="P22" s="10">
        <f>IF(O21&lt;=0,0,O21*Inputs!$C$11)</f>
        <v/>
      </c>
      <c r="Q22" s="10">
        <f>IF(P21&lt;=0,0,P21*Inputs!$C$11)</f>
        <v/>
      </c>
      <c r="R22" s="10">
        <f>IF(Q21&lt;=0,0,Q21*Inputs!$C$11)</f>
        <v/>
      </c>
      <c r="S22" s="10">
        <f>IF(R21&lt;=0,0,R21*Inputs!$C$11)</f>
        <v/>
      </c>
      <c r="T22" s="10">
        <f>IF(S21&lt;=0,0,S21*Inputs!$C$11)</f>
        <v/>
      </c>
      <c r="U22" s="10">
        <f>IF(T21&lt;=0,0,T21*Inputs!$C$11)</f>
        <v/>
      </c>
      <c r="V22" s="10">
        <f>IF(U21&lt;=0,0,U21*Inputs!$C$11)</f>
        <v/>
      </c>
      <c r="W22" s="10">
        <f>IF(V21&lt;=0,0,V21*Inputs!$C$11)</f>
        <v/>
      </c>
      <c r="X22" s="10">
        <f>IF(W21&lt;=0,0,W21*Inputs!$C$11)</f>
        <v/>
      </c>
      <c r="Y22" s="10">
        <f>IF(X21&lt;=0,0,X21*Inputs!$C$11)</f>
        <v/>
      </c>
      <c r="Z22" s="10">
        <f>IF(Y21&lt;=0,0,Y21*Inputs!$C$11)</f>
        <v/>
      </c>
      <c r="AA22" s="10">
        <f>IF(Z21&lt;=0,0,Z21*Inputs!$C$11)</f>
        <v/>
      </c>
    </row>
    <row r="23">
      <c r="A23" s="4" t="inlineStr">
        <is>
          <t>Principal Payment ($)</t>
        </is>
      </c>
      <c r="B23" s="10" t="n">
        <v>0</v>
      </c>
      <c r="C23" s="10">
        <f>IF(B21&lt;=0,0,C24-C22)</f>
        <v/>
      </c>
      <c r="D23" s="10">
        <f>IF(B21&lt;=0,0,D24-D22)</f>
        <v/>
      </c>
      <c r="E23" s="10">
        <f>IF(B21&lt;=0,0,E24-E22)</f>
        <v/>
      </c>
      <c r="F23" s="10">
        <f>IF(B21&lt;=0,0,F24-F22)</f>
        <v/>
      </c>
      <c r="G23" s="10">
        <f>IF(B21&lt;=0,0,G24-G22)</f>
        <v/>
      </c>
      <c r="H23" s="10">
        <f>IF(B21&lt;=0,0,H24-H22)</f>
        <v/>
      </c>
      <c r="I23" s="10">
        <f>IF(B21&lt;=0,0,I24-I22)</f>
        <v/>
      </c>
      <c r="J23" s="10">
        <f>IF(B21&lt;=0,0,J24-J22)</f>
        <v/>
      </c>
      <c r="K23" s="10">
        <f>IF(B21&lt;=0,0,K24-K22)</f>
        <v/>
      </c>
      <c r="L23" s="10">
        <f>IF(B21&lt;=0,0,L24-L22)</f>
        <v/>
      </c>
      <c r="M23" s="10">
        <f>IF(B21&lt;=0,0,M24-M22)</f>
        <v/>
      </c>
      <c r="N23" s="10">
        <f>IF(B21&lt;=0,0,N24-N22)</f>
        <v/>
      </c>
      <c r="O23" s="10">
        <f>IF(B21&lt;=0,0,O24-O22)</f>
        <v/>
      </c>
      <c r="P23" s="10">
        <f>IF(B21&lt;=0,0,P24-P22)</f>
        <v/>
      </c>
      <c r="Q23" s="10">
        <f>IF(B21&lt;=0,0,Q24-Q22)</f>
        <v/>
      </c>
      <c r="R23" s="10">
        <f>IF(B21&lt;=0,0,R24-R22)</f>
        <v/>
      </c>
      <c r="S23" s="10">
        <f>IF(B21&lt;=0,0,S24-S22)</f>
        <v/>
      </c>
      <c r="T23" s="10">
        <f>IF(B21&lt;=0,0,T24-T22)</f>
        <v/>
      </c>
      <c r="U23" s="10">
        <f>IF(B21&lt;=0,0,U24-U22)</f>
        <v/>
      </c>
      <c r="V23" s="10">
        <f>IF(B21&lt;=0,0,V24-V22)</f>
        <v/>
      </c>
      <c r="W23" s="10">
        <f>IF(B21&lt;=0,0,W24-W22)</f>
        <v/>
      </c>
      <c r="X23" s="10">
        <f>IF(B21&lt;=0,0,X24-X22)</f>
        <v/>
      </c>
      <c r="Y23" s="10">
        <f>IF(B21&lt;=0,0,Y24-Y22)</f>
        <v/>
      </c>
      <c r="Z23" s="10">
        <f>IF(B21&lt;=0,0,Z24-Z22)</f>
        <v/>
      </c>
      <c r="AA23" s="10">
        <f>IF(B21&lt;=0,0,AA24-AA22)</f>
        <v/>
      </c>
    </row>
    <row r="24">
      <c r="A24" s="16" t="inlineStr">
        <is>
          <t>Total Payment — P&amp;I ($)</t>
        </is>
      </c>
      <c r="B24" s="10" t="n">
        <v>0</v>
      </c>
      <c r="C24" s="10">
        <f>IF(B21&lt;=0,0,ABS(PMT(Inputs!$C$11,Inputs!$C$13,B21,0)))</f>
        <v/>
      </c>
      <c r="D24" s="10">
        <f>IF(C21&lt;=0,0,ABS(PMT(Inputs!$C$11,Inputs!$C$13,B21,0)))</f>
        <v/>
      </c>
      <c r="E24" s="10">
        <f>IF(D21&lt;=0,0,ABS(PMT(Inputs!$C$11,Inputs!$C$13,B21,0)))</f>
        <v/>
      </c>
      <c r="F24" s="10">
        <f>IF(E21&lt;=0,0,ABS(PMT(Inputs!$C$11,Inputs!$C$13,B21,0)))</f>
        <v/>
      </c>
      <c r="G24" s="10">
        <f>IF(F21&lt;=0,0,ABS(PMT(Inputs!$C$11,Inputs!$C$13,B21,0)))</f>
        <v/>
      </c>
      <c r="H24" s="10">
        <f>IF(G21&lt;=0,0,ABS(PMT(Inputs!$C$11,Inputs!$C$13,B21,0)))</f>
        <v/>
      </c>
      <c r="I24" s="10">
        <f>IF(H21&lt;=0,0,ABS(PMT(Inputs!$C$11,Inputs!$C$13,B21,0)))</f>
        <v/>
      </c>
      <c r="J24" s="10">
        <f>IF(I21&lt;=0,0,ABS(PMT(Inputs!$C$11,Inputs!$C$13,B21,0)))</f>
        <v/>
      </c>
      <c r="K24" s="10">
        <f>IF(J21&lt;=0,0,ABS(PMT(Inputs!$C$11,Inputs!$C$13,B21,0)))</f>
        <v/>
      </c>
      <c r="L24" s="10">
        <f>IF(K21&lt;=0,0,ABS(PMT(Inputs!$C$11,Inputs!$C$13,B21,0)))</f>
        <v/>
      </c>
      <c r="M24" s="10">
        <f>IF(L21&lt;=0,0,ABS(PMT(Inputs!$C$11,Inputs!$C$13,B21,0)))</f>
        <v/>
      </c>
      <c r="N24" s="10">
        <f>IF(M21&lt;=0,0,ABS(PMT(Inputs!$C$11,Inputs!$C$13,B21,0)))</f>
        <v/>
      </c>
      <c r="O24" s="10">
        <f>IF(N21&lt;=0,0,ABS(PMT(Inputs!$C$11,Inputs!$C$13,B21,0)))</f>
        <v/>
      </c>
      <c r="P24" s="10">
        <f>IF(O21&lt;=0,0,ABS(PMT(Inputs!$C$11,Inputs!$C$13,B21,0)))</f>
        <v/>
      </c>
      <c r="Q24" s="10">
        <f>IF(P21&lt;=0,0,ABS(PMT(Inputs!$C$11,Inputs!$C$13,B21,0)))</f>
        <v/>
      </c>
      <c r="R24" s="10">
        <f>IF(Q21&lt;=0,0,ABS(PMT(Inputs!$C$11,Inputs!$C$13,B21,0)))</f>
        <v/>
      </c>
      <c r="S24" s="10">
        <f>IF(R21&lt;=0,0,ABS(PMT(Inputs!$C$11,Inputs!$C$13,B21,0)))</f>
        <v/>
      </c>
      <c r="T24" s="10">
        <f>IF(S21&lt;=0,0,ABS(PMT(Inputs!$C$11,Inputs!$C$13,B21,0)))</f>
        <v/>
      </c>
      <c r="U24" s="10">
        <f>IF(T21&lt;=0,0,ABS(PMT(Inputs!$C$11,Inputs!$C$13,B21,0)))</f>
        <v/>
      </c>
      <c r="V24" s="10">
        <f>IF(U21&lt;=0,0,ABS(PMT(Inputs!$C$11,Inputs!$C$13,B21,0)))</f>
        <v/>
      </c>
      <c r="W24" s="10">
        <f>IF(V21&lt;=0,0,ABS(PMT(Inputs!$C$11,Inputs!$C$13,B21,0)))</f>
        <v/>
      </c>
      <c r="X24" s="10">
        <f>IF(W21&lt;=0,0,ABS(PMT(Inputs!$C$11,Inputs!$C$13,B21,0)))</f>
        <v/>
      </c>
      <c r="Y24" s="10">
        <f>IF(X21&lt;=0,0,ABS(PMT(Inputs!$C$11,Inputs!$C$13,B21,0)))</f>
        <v/>
      </c>
      <c r="Z24" s="10">
        <f>IF(Y21&lt;=0,0,ABS(PMT(Inputs!$C$11,Inputs!$C$13,B21,0)))</f>
        <v/>
      </c>
      <c r="AA24" s="10">
        <f>IF(Z21&lt;=0,0,ABS(PMT(Inputs!$C$11,Inputs!$C$13,B21,0)))</f>
        <v/>
      </c>
      <c r="AB24" s="10">
        <f>SUM(C24:AA24)</f>
        <v/>
      </c>
      <c r="AC24" s="10">
        <f>NPV(Inputs!$C$12,C24:AA24)</f>
        <v/>
      </c>
    </row>
    <row r="26">
      <c r="A26" s="4" t="inlineStr">
        <is>
          <t>Elec. Bill — No System ($)</t>
        </is>
      </c>
      <c r="B26" s="10" t="n">
        <v>0</v>
      </c>
      <c r="C26" s="15">
        <f>Inputs!C26</f>
        <v/>
      </c>
      <c r="D26" s="10">
        <f>C26*(1+Inputs!$C$14)</f>
        <v/>
      </c>
      <c r="E26" s="10">
        <f>D26*(1+Inputs!$C$14)</f>
        <v/>
      </c>
      <c r="F26" s="10">
        <f>E26*(1+Inputs!$C$14)</f>
        <v/>
      </c>
      <c r="G26" s="10">
        <f>F26*(1+Inputs!$C$14)</f>
        <v/>
      </c>
      <c r="H26" s="10">
        <f>G26*(1+Inputs!$C$14)</f>
        <v/>
      </c>
      <c r="I26" s="10">
        <f>H26*(1+Inputs!$C$14)</f>
        <v/>
      </c>
      <c r="J26" s="10">
        <f>I26*(1+Inputs!$C$14)</f>
        <v/>
      </c>
      <c r="K26" s="10">
        <f>J26*(1+Inputs!$C$14)</f>
        <v/>
      </c>
      <c r="L26" s="10">
        <f>K26*(1+Inputs!$C$14)</f>
        <v/>
      </c>
      <c r="M26" s="10">
        <f>L26*(1+Inputs!$C$14)</f>
        <v/>
      </c>
      <c r="N26" s="10">
        <f>M26*(1+Inputs!$C$14)</f>
        <v/>
      </c>
      <c r="O26" s="10">
        <f>N26*(1+Inputs!$C$14)</f>
        <v/>
      </c>
      <c r="P26" s="10">
        <f>O26*(1+Inputs!$C$14)</f>
        <v/>
      </c>
      <c r="Q26" s="10">
        <f>P26*(1+Inputs!$C$14)</f>
        <v/>
      </c>
      <c r="R26" s="10">
        <f>Q26*(1+Inputs!$C$14)</f>
        <v/>
      </c>
      <c r="S26" s="10">
        <f>R26*(1+Inputs!$C$14)</f>
        <v/>
      </c>
      <c r="T26" s="10">
        <f>S26*(1+Inputs!$C$14)</f>
        <v/>
      </c>
      <c r="U26" s="10">
        <f>T26*(1+Inputs!$C$14)</f>
        <v/>
      </c>
      <c r="V26" s="10">
        <f>U26*(1+Inputs!$C$14)</f>
        <v/>
      </c>
      <c r="W26" s="10">
        <f>V26*(1+Inputs!$C$14)</f>
        <v/>
      </c>
      <c r="X26" s="10">
        <f>W26*(1+Inputs!$C$14)</f>
        <v/>
      </c>
      <c r="Y26" s="10">
        <f>X26*(1+Inputs!$C$14)</f>
        <v/>
      </c>
      <c r="Z26" s="10">
        <f>Y26*(1+Inputs!$C$14)</f>
        <v/>
      </c>
      <c r="AA26" s="10">
        <f>Z26*(1+Inputs!$C$14)</f>
        <v/>
      </c>
    </row>
    <row r="27">
      <c r="A27" s="4" t="inlineStr">
        <is>
          <t>Elec. Bill — With System ($)</t>
        </is>
      </c>
      <c r="B27" s="10" t="n">
        <v>0</v>
      </c>
      <c r="C27" s="15">
        <f>Inputs!D26</f>
        <v/>
      </c>
      <c r="D27" s="10">
        <f>C27*(1+Inputs!$C$14)</f>
        <v/>
      </c>
      <c r="E27" s="10">
        <f>D27*(1+Inputs!$C$14)</f>
        <v/>
      </c>
      <c r="F27" s="10">
        <f>E27*(1+Inputs!$C$14)</f>
        <v/>
      </c>
      <c r="G27" s="10">
        <f>F27*(1+Inputs!$C$14)</f>
        <v/>
      </c>
      <c r="H27" s="10">
        <f>G27*(1+Inputs!$C$14)</f>
        <v/>
      </c>
      <c r="I27" s="10">
        <f>H27*(1+Inputs!$C$14)</f>
        <v/>
      </c>
      <c r="J27" s="10">
        <f>I27*(1+Inputs!$C$14)</f>
        <v/>
      </c>
      <c r="K27" s="10">
        <f>J27*(1+Inputs!$C$14)</f>
        <v/>
      </c>
      <c r="L27" s="10">
        <f>K27*(1+Inputs!$C$14)</f>
        <v/>
      </c>
      <c r="M27" s="10">
        <f>L27*(1+Inputs!$C$14)</f>
        <v/>
      </c>
      <c r="N27" s="10">
        <f>M27*(1+Inputs!$C$14)</f>
        <v/>
      </c>
      <c r="O27" s="10">
        <f>N27*(1+Inputs!$C$14)</f>
        <v/>
      </c>
      <c r="P27" s="10">
        <f>O27*(1+Inputs!$C$14)</f>
        <v/>
      </c>
      <c r="Q27" s="10">
        <f>P27*(1+Inputs!$C$14)</f>
        <v/>
      </c>
      <c r="R27" s="10">
        <f>Q27*(1+Inputs!$C$14)</f>
        <v/>
      </c>
      <c r="S27" s="10">
        <f>R27*(1+Inputs!$C$14)</f>
        <v/>
      </c>
      <c r="T27" s="10">
        <f>S27*(1+Inputs!$C$14)</f>
        <v/>
      </c>
      <c r="U27" s="10">
        <f>T27*(1+Inputs!$C$14)</f>
        <v/>
      </c>
      <c r="V27" s="10">
        <f>U27*(1+Inputs!$C$14)</f>
        <v/>
      </c>
      <c r="W27" s="10">
        <f>V27*(1+Inputs!$C$14)</f>
        <v/>
      </c>
      <c r="X27" s="10">
        <f>W27*(1+Inputs!$C$14)</f>
        <v/>
      </c>
      <c r="Y27" s="10">
        <f>X27*(1+Inputs!$C$14)</f>
        <v/>
      </c>
      <c r="Z27" s="10">
        <f>Y27*(1+Inputs!$C$14)</f>
        <v/>
      </c>
      <c r="AA27" s="10">
        <f>Z27*(1+Inputs!$C$14)</f>
        <v/>
      </c>
    </row>
    <row r="28">
      <c r="A28" s="4" t="inlineStr">
        <is>
          <t>Bill Savings ($)</t>
        </is>
      </c>
      <c r="B28" s="10" t="n">
        <v>0</v>
      </c>
      <c r="C28" s="10">
        <f>C26-C27</f>
        <v/>
      </c>
      <c r="D28" s="10">
        <f>D26-D27</f>
        <v/>
      </c>
      <c r="E28" s="10">
        <f>E26-E27</f>
        <v/>
      </c>
      <c r="F28" s="10">
        <f>F26-F27</f>
        <v/>
      </c>
      <c r="G28" s="10">
        <f>G26-G27</f>
        <v/>
      </c>
      <c r="H28" s="10">
        <f>H26-H27</f>
        <v/>
      </c>
      <c r="I28" s="10">
        <f>I26-I27</f>
        <v/>
      </c>
      <c r="J28" s="10">
        <f>J26-J27</f>
        <v/>
      </c>
      <c r="K28" s="10">
        <f>K26-K27</f>
        <v/>
      </c>
      <c r="L28" s="10">
        <f>L26-L27</f>
        <v/>
      </c>
      <c r="M28" s="10">
        <f>M26-M27</f>
        <v/>
      </c>
      <c r="N28" s="10">
        <f>N26-N27</f>
        <v/>
      </c>
      <c r="O28" s="10">
        <f>O26-O27</f>
        <v/>
      </c>
      <c r="P28" s="10">
        <f>P26-P27</f>
        <v/>
      </c>
      <c r="Q28" s="10">
        <f>Q26-Q27</f>
        <v/>
      </c>
      <c r="R28" s="10">
        <f>R26-R27</f>
        <v/>
      </c>
      <c r="S28" s="10">
        <f>S26-S27</f>
        <v/>
      </c>
      <c r="T28" s="10">
        <f>T26-T27</f>
        <v/>
      </c>
      <c r="U28" s="10">
        <f>U26-U27</f>
        <v/>
      </c>
      <c r="V28" s="10">
        <f>V26-V27</f>
        <v/>
      </c>
      <c r="W28" s="10">
        <f>W26-W27</f>
        <v/>
      </c>
      <c r="X28" s="10">
        <f>X26-X27</f>
        <v/>
      </c>
      <c r="Y28" s="10">
        <f>Y26-Y27</f>
        <v/>
      </c>
      <c r="Z28" s="10">
        <f>Z26-Z27</f>
        <v/>
      </c>
      <c r="AA28" s="10">
        <f>AA26-AA27</f>
        <v/>
      </c>
      <c r="AB28" s="10">
        <f>SUM(C28:AA28)</f>
        <v/>
      </c>
      <c r="AC28" s="10">
        <f>NPV(Inputs!$C$12,C28:AA28)</f>
        <v/>
      </c>
    </row>
    <row r="29">
      <c r="A29" s="4" t="inlineStr">
        <is>
          <t>Incentive Savings — Annual ($)</t>
        </is>
      </c>
      <c r="B29" s="10" t="n">
        <v>0</v>
      </c>
      <c r="C29" s="15">
        <f>Inputs!$C$21</f>
        <v/>
      </c>
      <c r="D29" s="15">
        <f>Inputs!$C$21</f>
        <v/>
      </c>
      <c r="E29" s="15">
        <f>Inputs!$C$21</f>
        <v/>
      </c>
      <c r="F29" s="15">
        <f>Inputs!$C$21</f>
        <v/>
      </c>
      <c r="G29" s="15">
        <f>Inputs!$C$21</f>
        <v/>
      </c>
      <c r="H29" s="15">
        <f>Inputs!$C$21</f>
        <v/>
      </c>
      <c r="I29" s="15">
        <f>Inputs!$C$21</f>
        <v/>
      </c>
      <c r="J29" s="15">
        <f>Inputs!$C$21</f>
        <v/>
      </c>
      <c r="K29" s="15">
        <f>Inputs!$C$21</f>
        <v/>
      </c>
      <c r="L29" s="15">
        <f>Inputs!$C$21</f>
        <v/>
      </c>
      <c r="M29" s="15">
        <f>Inputs!$C$21</f>
        <v/>
      </c>
      <c r="N29" s="15">
        <f>Inputs!$C$21</f>
        <v/>
      </c>
      <c r="O29" s="15">
        <f>Inputs!$C$21</f>
        <v/>
      </c>
      <c r="P29" s="15">
        <f>Inputs!$C$21</f>
        <v/>
      </c>
      <c r="Q29" s="15">
        <f>Inputs!$C$21</f>
        <v/>
      </c>
      <c r="R29" s="15">
        <f>Inputs!$C$21</f>
        <v/>
      </c>
      <c r="S29" s="15">
        <f>Inputs!$C$21</f>
        <v/>
      </c>
      <c r="T29" s="15">
        <f>Inputs!$C$21</f>
        <v/>
      </c>
      <c r="U29" s="15">
        <f>Inputs!$C$21</f>
        <v/>
      </c>
      <c r="V29" s="15">
        <f>Inputs!$C$21</f>
        <v/>
      </c>
      <c r="W29" s="15">
        <f>Inputs!$C$21</f>
        <v/>
      </c>
      <c r="X29" s="15">
        <f>Inputs!$C$21</f>
        <v/>
      </c>
      <c r="Y29" s="15">
        <f>Inputs!$C$21</f>
        <v/>
      </c>
      <c r="Z29" s="15">
        <f>Inputs!$C$21</f>
        <v/>
      </c>
      <c r="AA29" s="15">
        <f>Inputs!$C$21</f>
        <v/>
      </c>
      <c r="AB29" s="10">
        <f>SUM(C29:AA29)</f>
        <v/>
      </c>
      <c r="AC29" s="10">
        <f>NPV(Inputs!$C$12,C29:AA29)</f>
        <v/>
      </c>
    </row>
    <row r="30">
      <c r="A30" s="16" t="inlineStr">
        <is>
          <t>Total Savings ($)</t>
        </is>
      </c>
      <c r="B30" s="10">
        <f>B28+B29</f>
        <v/>
      </c>
      <c r="C30" s="10">
        <f>C28+C29</f>
        <v/>
      </c>
      <c r="D30" s="10">
        <f>D28+D29</f>
        <v/>
      </c>
      <c r="E30" s="10">
        <f>E28+E29</f>
        <v/>
      </c>
      <c r="F30" s="10">
        <f>F28+F29</f>
        <v/>
      </c>
      <c r="G30" s="10">
        <f>G28+G29</f>
        <v/>
      </c>
      <c r="H30" s="10">
        <f>H28+H29</f>
        <v/>
      </c>
      <c r="I30" s="10">
        <f>I28+I29</f>
        <v/>
      </c>
      <c r="J30" s="10">
        <f>J28+J29</f>
        <v/>
      </c>
      <c r="K30" s="10">
        <f>K28+K29</f>
        <v/>
      </c>
      <c r="L30" s="10">
        <f>L28+L29</f>
        <v/>
      </c>
      <c r="M30" s="10">
        <f>M28+M29</f>
        <v/>
      </c>
      <c r="N30" s="10">
        <f>N28+N29</f>
        <v/>
      </c>
      <c r="O30" s="10">
        <f>O28+O29</f>
        <v/>
      </c>
      <c r="P30" s="10">
        <f>P28+P29</f>
        <v/>
      </c>
      <c r="Q30" s="10">
        <f>Q28+Q29</f>
        <v/>
      </c>
      <c r="R30" s="10">
        <f>R28+R29</f>
        <v/>
      </c>
      <c r="S30" s="10">
        <f>S28+S29</f>
        <v/>
      </c>
      <c r="T30" s="10">
        <f>T28+T29</f>
        <v/>
      </c>
      <c r="U30" s="10">
        <f>U28+U29</f>
        <v/>
      </c>
      <c r="V30" s="10">
        <f>V28+V29</f>
        <v/>
      </c>
      <c r="W30" s="10">
        <f>W28+W29</f>
        <v/>
      </c>
      <c r="X30" s="10">
        <f>X28+X29</f>
        <v/>
      </c>
      <c r="Y30" s="10">
        <f>Y28+Y29</f>
        <v/>
      </c>
      <c r="Z30" s="10">
        <f>Z28+Z29</f>
        <v/>
      </c>
      <c r="AA30" s="10">
        <f>AA28+AA29</f>
        <v/>
      </c>
      <c r="AB30" s="10">
        <f>SUM(C30:AA30)</f>
        <v/>
      </c>
      <c r="AC30" s="10">
        <f>NPV(Inputs!$C$12,C30:AA30)</f>
        <v/>
      </c>
    </row>
    <row r="31">
      <c r="A31" s="17" t="inlineStr">
        <is>
          <t>Net Savings ($)</t>
        </is>
      </c>
      <c r="B31" s="18">
        <f>B30-B24</f>
        <v/>
      </c>
      <c r="C31" s="18">
        <f>C30-C24</f>
        <v/>
      </c>
      <c r="D31" s="18">
        <f>D30-D24</f>
        <v/>
      </c>
      <c r="E31" s="18">
        <f>E30-E24</f>
        <v/>
      </c>
      <c r="F31" s="18">
        <f>F30-F24</f>
        <v/>
      </c>
      <c r="G31" s="18">
        <f>G30-G24</f>
        <v/>
      </c>
      <c r="H31" s="18">
        <f>H30-H24</f>
        <v/>
      </c>
      <c r="I31" s="18">
        <f>I30-I24</f>
        <v/>
      </c>
      <c r="J31" s="18">
        <f>J30-J24</f>
        <v/>
      </c>
      <c r="K31" s="18">
        <f>K30-K24</f>
        <v/>
      </c>
      <c r="L31" s="18">
        <f>L30-L24</f>
        <v/>
      </c>
      <c r="M31" s="18">
        <f>M30-M24</f>
        <v/>
      </c>
      <c r="N31" s="18">
        <f>N30-N24</f>
        <v/>
      </c>
      <c r="O31" s="18">
        <f>O30-O24</f>
        <v/>
      </c>
      <c r="P31" s="18">
        <f>P30-P24</f>
        <v/>
      </c>
      <c r="Q31" s="18">
        <f>Q30-Q24</f>
        <v/>
      </c>
      <c r="R31" s="18">
        <f>R30-R24</f>
        <v/>
      </c>
      <c r="S31" s="18">
        <f>S30-S24</f>
        <v/>
      </c>
      <c r="T31" s="18">
        <f>T30-T24</f>
        <v/>
      </c>
      <c r="U31" s="18">
        <f>U30-U24</f>
        <v/>
      </c>
      <c r="V31" s="18">
        <f>V30-V24</f>
        <v/>
      </c>
      <c r="W31" s="18">
        <f>W30-W24</f>
        <v/>
      </c>
      <c r="X31" s="18">
        <f>X30-X24</f>
        <v/>
      </c>
      <c r="Y31" s="18">
        <f>Y30-Y24</f>
        <v/>
      </c>
      <c r="Z31" s="18">
        <f>Z30-Z24</f>
        <v/>
      </c>
      <c r="AA31" s="18">
        <f>AA30-AA24</f>
        <v/>
      </c>
      <c r="AB31" s="18">
        <f>SUM(C31:AA31)</f>
        <v/>
      </c>
      <c r="AC31" s="18">
        <f>NPV(Inputs!$C$12,C31:AA31)</f>
        <v/>
      </c>
    </row>
    <row r="34">
      <c r="A34" s="3" t="inlineStr">
        <is>
          <t>Scenario 3: No Incentives</t>
        </is>
      </c>
    </row>
    <row r="35">
      <c r="A35" s="13" t="inlineStr">
        <is>
          <t>Year</t>
        </is>
      </c>
      <c r="B35" s="14" t="n">
        <v>0</v>
      </c>
      <c r="C35" s="14" t="n">
        <v>1</v>
      </c>
      <c r="D35" s="14" t="n">
        <v>2</v>
      </c>
      <c r="E35" s="14" t="n">
        <v>3</v>
      </c>
      <c r="F35" s="14" t="n">
        <v>4</v>
      </c>
      <c r="G35" s="14" t="n">
        <v>5</v>
      </c>
      <c r="H35" s="14" t="n">
        <v>6</v>
      </c>
      <c r="I35" s="14" t="n">
        <v>7</v>
      </c>
      <c r="J35" s="14" t="n">
        <v>8</v>
      </c>
      <c r="K35" s="14" t="n">
        <v>9</v>
      </c>
      <c r="L35" s="14" t="n">
        <v>10</v>
      </c>
      <c r="M35" s="14" t="n">
        <v>11</v>
      </c>
      <c r="N35" s="14" t="n">
        <v>12</v>
      </c>
      <c r="O35" s="14" t="n">
        <v>13</v>
      </c>
      <c r="P35" s="14" t="n">
        <v>14</v>
      </c>
      <c r="Q35" s="14" t="n">
        <v>15</v>
      </c>
      <c r="R35" s="14" t="n">
        <v>16</v>
      </c>
      <c r="S35" s="14" t="n">
        <v>17</v>
      </c>
      <c r="T35" s="14" t="n">
        <v>18</v>
      </c>
      <c r="U35" s="14" t="n">
        <v>19</v>
      </c>
      <c r="V35" s="14" t="n">
        <v>20</v>
      </c>
      <c r="W35" s="14" t="n">
        <v>21</v>
      </c>
      <c r="X35" s="14" t="n">
        <v>22</v>
      </c>
      <c r="Y35" s="14" t="n">
        <v>23</v>
      </c>
      <c r="Z35" s="14" t="n">
        <v>24</v>
      </c>
      <c r="AA35" s="14" t="n">
        <v>25</v>
      </c>
      <c r="AB35" s="13" t="inlineStr">
        <is>
          <t>25yr Total</t>
        </is>
      </c>
      <c r="AC35" s="13" t="inlineStr">
        <is>
          <t>25yr NPV</t>
        </is>
      </c>
    </row>
    <row r="36">
      <c r="A36" s="4" t="inlineStr">
        <is>
          <t>Debt Balance ($)</t>
        </is>
      </c>
      <c r="B36" s="15">
        <f>Inputs!C5</f>
        <v/>
      </c>
      <c r="C36" s="10">
        <f>MAX(0,B36-C38)</f>
        <v/>
      </c>
      <c r="D36" s="10">
        <f>MAX(0,C36-D38)</f>
        <v/>
      </c>
      <c r="E36" s="10">
        <f>MAX(0,D36-E38)</f>
        <v/>
      </c>
      <c r="F36" s="10">
        <f>MAX(0,E36-F38)</f>
        <v/>
      </c>
      <c r="G36" s="10">
        <f>MAX(0,F36-G38)</f>
        <v/>
      </c>
      <c r="H36" s="10">
        <f>MAX(0,G36-H38)</f>
        <v/>
      </c>
      <c r="I36" s="10">
        <f>MAX(0,H36-I38)</f>
        <v/>
      </c>
      <c r="J36" s="10">
        <f>MAX(0,I36-J38)</f>
        <v/>
      </c>
      <c r="K36" s="10">
        <f>MAX(0,J36-K38)</f>
        <v/>
      </c>
      <c r="L36" s="10">
        <f>MAX(0,K36-L38)</f>
        <v/>
      </c>
      <c r="M36" s="10">
        <f>MAX(0,L36-M38)</f>
        <v/>
      </c>
      <c r="N36" s="10">
        <f>MAX(0,M36-N38)</f>
        <v/>
      </c>
      <c r="O36" s="10">
        <f>MAX(0,N36-O38)</f>
        <v/>
      </c>
      <c r="P36" s="10">
        <f>MAX(0,O36-P38)</f>
        <v/>
      </c>
      <c r="Q36" s="10">
        <f>MAX(0,P36-Q38)</f>
        <v/>
      </c>
      <c r="R36" s="10">
        <f>MAX(0,Q36-R38)</f>
        <v/>
      </c>
      <c r="S36" s="10">
        <f>MAX(0,R36-S38)</f>
        <v/>
      </c>
      <c r="T36" s="10">
        <f>MAX(0,S36-T38)</f>
        <v/>
      </c>
      <c r="U36" s="10">
        <f>MAX(0,T36-U38)</f>
        <v/>
      </c>
      <c r="V36" s="10">
        <f>MAX(0,U36-V38)</f>
        <v/>
      </c>
      <c r="W36" s="10">
        <f>MAX(0,V36-W38)</f>
        <v/>
      </c>
      <c r="X36" s="10">
        <f>MAX(0,W36-X38)</f>
        <v/>
      </c>
      <c r="Y36" s="10">
        <f>MAX(0,X36-Y38)</f>
        <v/>
      </c>
      <c r="Z36" s="10">
        <f>MAX(0,Y36-Z38)</f>
        <v/>
      </c>
      <c r="AA36" s="10">
        <f>MAX(0,Z36-AA38)</f>
        <v/>
      </c>
    </row>
    <row r="37">
      <c r="A37" s="4" t="inlineStr">
        <is>
          <t>Interest Payment ($)</t>
        </is>
      </c>
      <c r="B37" s="10" t="n">
        <v>0</v>
      </c>
      <c r="C37" s="10">
        <f>IF(B36&lt;=0,0,B36*Inputs!$C$11)</f>
        <v/>
      </c>
      <c r="D37" s="10">
        <f>IF(C36&lt;=0,0,C36*Inputs!$C$11)</f>
        <v/>
      </c>
      <c r="E37" s="10">
        <f>IF(D36&lt;=0,0,D36*Inputs!$C$11)</f>
        <v/>
      </c>
      <c r="F37" s="10">
        <f>IF(E36&lt;=0,0,E36*Inputs!$C$11)</f>
        <v/>
      </c>
      <c r="G37" s="10">
        <f>IF(F36&lt;=0,0,F36*Inputs!$C$11)</f>
        <v/>
      </c>
      <c r="H37" s="10">
        <f>IF(G36&lt;=0,0,G36*Inputs!$C$11)</f>
        <v/>
      </c>
      <c r="I37" s="10">
        <f>IF(H36&lt;=0,0,H36*Inputs!$C$11)</f>
        <v/>
      </c>
      <c r="J37" s="10">
        <f>IF(I36&lt;=0,0,I36*Inputs!$C$11)</f>
        <v/>
      </c>
      <c r="K37" s="10">
        <f>IF(J36&lt;=0,0,J36*Inputs!$C$11)</f>
        <v/>
      </c>
      <c r="L37" s="10">
        <f>IF(K36&lt;=0,0,K36*Inputs!$C$11)</f>
        <v/>
      </c>
      <c r="M37" s="10">
        <f>IF(L36&lt;=0,0,L36*Inputs!$C$11)</f>
        <v/>
      </c>
      <c r="N37" s="10">
        <f>IF(M36&lt;=0,0,M36*Inputs!$C$11)</f>
        <v/>
      </c>
      <c r="O37" s="10">
        <f>IF(N36&lt;=0,0,N36*Inputs!$C$11)</f>
        <v/>
      </c>
      <c r="P37" s="10">
        <f>IF(O36&lt;=0,0,O36*Inputs!$C$11)</f>
        <v/>
      </c>
      <c r="Q37" s="10">
        <f>IF(P36&lt;=0,0,P36*Inputs!$C$11)</f>
        <v/>
      </c>
      <c r="R37" s="10">
        <f>IF(Q36&lt;=0,0,Q36*Inputs!$C$11)</f>
        <v/>
      </c>
      <c r="S37" s="10">
        <f>IF(R36&lt;=0,0,R36*Inputs!$C$11)</f>
        <v/>
      </c>
      <c r="T37" s="10">
        <f>IF(S36&lt;=0,0,S36*Inputs!$C$11)</f>
        <v/>
      </c>
      <c r="U37" s="10">
        <f>IF(T36&lt;=0,0,T36*Inputs!$C$11)</f>
        <v/>
      </c>
      <c r="V37" s="10">
        <f>IF(U36&lt;=0,0,U36*Inputs!$C$11)</f>
        <v/>
      </c>
      <c r="W37" s="10">
        <f>IF(V36&lt;=0,0,V36*Inputs!$C$11)</f>
        <v/>
      </c>
      <c r="X37" s="10">
        <f>IF(W36&lt;=0,0,W36*Inputs!$C$11)</f>
        <v/>
      </c>
      <c r="Y37" s="10">
        <f>IF(X36&lt;=0,0,X36*Inputs!$C$11)</f>
        <v/>
      </c>
      <c r="Z37" s="10">
        <f>IF(Y36&lt;=0,0,Y36*Inputs!$C$11)</f>
        <v/>
      </c>
      <c r="AA37" s="10">
        <f>IF(Z36&lt;=0,0,Z36*Inputs!$C$11)</f>
        <v/>
      </c>
    </row>
    <row r="38">
      <c r="A38" s="4" t="inlineStr">
        <is>
          <t>Principal Payment ($)</t>
        </is>
      </c>
      <c r="B38" s="10" t="n">
        <v>0</v>
      </c>
      <c r="C38" s="10">
        <f>IF(B36&lt;=0,0,C39-C37)</f>
        <v/>
      </c>
      <c r="D38" s="10">
        <f>IF(B36&lt;=0,0,D39-D37)</f>
        <v/>
      </c>
      <c r="E38" s="10">
        <f>IF(B36&lt;=0,0,E39-E37)</f>
        <v/>
      </c>
      <c r="F38" s="10">
        <f>IF(B36&lt;=0,0,F39-F37)</f>
        <v/>
      </c>
      <c r="G38" s="10">
        <f>IF(B36&lt;=0,0,G39-G37)</f>
        <v/>
      </c>
      <c r="H38" s="10">
        <f>IF(B36&lt;=0,0,H39-H37)</f>
        <v/>
      </c>
      <c r="I38" s="10">
        <f>IF(B36&lt;=0,0,I39-I37)</f>
        <v/>
      </c>
      <c r="J38" s="10">
        <f>IF(B36&lt;=0,0,J39-J37)</f>
        <v/>
      </c>
      <c r="K38" s="10">
        <f>IF(B36&lt;=0,0,K39-K37)</f>
        <v/>
      </c>
      <c r="L38" s="10">
        <f>IF(B36&lt;=0,0,L39-L37)</f>
        <v/>
      </c>
      <c r="M38" s="10">
        <f>IF(B36&lt;=0,0,M39-M37)</f>
        <v/>
      </c>
      <c r="N38" s="10">
        <f>IF(B36&lt;=0,0,N39-N37)</f>
        <v/>
      </c>
      <c r="O38" s="10">
        <f>IF(B36&lt;=0,0,O39-O37)</f>
        <v/>
      </c>
      <c r="P38" s="10">
        <f>IF(B36&lt;=0,0,P39-P37)</f>
        <v/>
      </c>
      <c r="Q38" s="10">
        <f>IF(B36&lt;=0,0,Q39-Q37)</f>
        <v/>
      </c>
      <c r="R38" s="10">
        <f>IF(B36&lt;=0,0,R39-R37)</f>
        <v/>
      </c>
      <c r="S38" s="10">
        <f>IF(B36&lt;=0,0,S39-S37)</f>
        <v/>
      </c>
      <c r="T38" s="10">
        <f>IF(B36&lt;=0,0,T39-T37)</f>
        <v/>
      </c>
      <c r="U38" s="10">
        <f>IF(B36&lt;=0,0,U39-U37)</f>
        <v/>
      </c>
      <c r="V38" s="10">
        <f>IF(B36&lt;=0,0,V39-V37)</f>
        <v/>
      </c>
      <c r="W38" s="10">
        <f>IF(B36&lt;=0,0,W39-W37)</f>
        <v/>
      </c>
      <c r="X38" s="10">
        <f>IF(B36&lt;=0,0,X39-X37)</f>
        <v/>
      </c>
      <c r="Y38" s="10">
        <f>IF(B36&lt;=0,0,Y39-Y37)</f>
        <v/>
      </c>
      <c r="Z38" s="10">
        <f>IF(B36&lt;=0,0,Z39-Z37)</f>
        <v/>
      </c>
      <c r="AA38" s="10">
        <f>IF(B36&lt;=0,0,AA39-AA37)</f>
        <v/>
      </c>
    </row>
    <row r="39">
      <c r="A39" s="16" t="inlineStr">
        <is>
          <t>Total Payment — P&amp;I ($)</t>
        </is>
      </c>
      <c r="B39" s="10" t="n">
        <v>0</v>
      </c>
      <c r="C39" s="10">
        <f>IF(B36&lt;=0,0,ABS(PMT(Inputs!$C$11,Inputs!$C$13,B36,0)))</f>
        <v/>
      </c>
      <c r="D39" s="10">
        <f>IF(C36&lt;=0,0,ABS(PMT(Inputs!$C$11,Inputs!$C$13,B36,0)))</f>
        <v/>
      </c>
      <c r="E39" s="10">
        <f>IF(D36&lt;=0,0,ABS(PMT(Inputs!$C$11,Inputs!$C$13,B36,0)))</f>
        <v/>
      </c>
      <c r="F39" s="10">
        <f>IF(E36&lt;=0,0,ABS(PMT(Inputs!$C$11,Inputs!$C$13,B36,0)))</f>
        <v/>
      </c>
      <c r="G39" s="10">
        <f>IF(F36&lt;=0,0,ABS(PMT(Inputs!$C$11,Inputs!$C$13,B36,0)))</f>
        <v/>
      </c>
      <c r="H39" s="10">
        <f>IF(G36&lt;=0,0,ABS(PMT(Inputs!$C$11,Inputs!$C$13,B36,0)))</f>
        <v/>
      </c>
      <c r="I39" s="10">
        <f>IF(H36&lt;=0,0,ABS(PMT(Inputs!$C$11,Inputs!$C$13,B36,0)))</f>
        <v/>
      </c>
      <c r="J39" s="10">
        <f>IF(I36&lt;=0,0,ABS(PMT(Inputs!$C$11,Inputs!$C$13,B36,0)))</f>
        <v/>
      </c>
      <c r="K39" s="10">
        <f>IF(J36&lt;=0,0,ABS(PMT(Inputs!$C$11,Inputs!$C$13,B36,0)))</f>
        <v/>
      </c>
      <c r="L39" s="10">
        <f>IF(K36&lt;=0,0,ABS(PMT(Inputs!$C$11,Inputs!$C$13,B36,0)))</f>
        <v/>
      </c>
      <c r="M39" s="10">
        <f>IF(L36&lt;=0,0,ABS(PMT(Inputs!$C$11,Inputs!$C$13,B36,0)))</f>
        <v/>
      </c>
      <c r="N39" s="10">
        <f>IF(M36&lt;=0,0,ABS(PMT(Inputs!$C$11,Inputs!$C$13,B36,0)))</f>
        <v/>
      </c>
      <c r="O39" s="10">
        <f>IF(N36&lt;=0,0,ABS(PMT(Inputs!$C$11,Inputs!$C$13,B36,0)))</f>
        <v/>
      </c>
      <c r="P39" s="10">
        <f>IF(O36&lt;=0,0,ABS(PMT(Inputs!$C$11,Inputs!$C$13,B36,0)))</f>
        <v/>
      </c>
      <c r="Q39" s="10">
        <f>IF(P36&lt;=0,0,ABS(PMT(Inputs!$C$11,Inputs!$C$13,B36,0)))</f>
        <v/>
      </c>
      <c r="R39" s="10">
        <f>IF(Q36&lt;=0,0,ABS(PMT(Inputs!$C$11,Inputs!$C$13,B36,0)))</f>
        <v/>
      </c>
      <c r="S39" s="10">
        <f>IF(R36&lt;=0,0,ABS(PMT(Inputs!$C$11,Inputs!$C$13,B36,0)))</f>
        <v/>
      </c>
      <c r="T39" s="10">
        <f>IF(S36&lt;=0,0,ABS(PMT(Inputs!$C$11,Inputs!$C$13,B36,0)))</f>
        <v/>
      </c>
      <c r="U39" s="10">
        <f>IF(T36&lt;=0,0,ABS(PMT(Inputs!$C$11,Inputs!$C$13,B36,0)))</f>
        <v/>
      </c>
      <c r="V39" s="10">
        <f>IF(U36&lt;=0,0,ABS(PMT(Inputs!$C$11,Inputs!$C$13,B36,0)))</f>
        <v/>
      </c>
      <c r="W39" s="10">
        <f>IF(V36&lt;=0,0,ABS(PMT(Inputs!$C$11,Inputs!$C$13,B36,0)))</f>
        <v/>
      </c>
      <c r="X39" s="10">
        <f>IF(W36&lt;=0,0,ABS(PMT(Inputs!$C$11,Inputs!$C$13,B36,0)))</f>
        <v/>
      </c>
      <c r="Y39" s="10">
        <f>IF(X36&lt;=0,0,ABS(PMT(Inputs!$C$11,Inputs!$C$13,B36,0)))</f>
        <v/>
      </c>
      <c r="Z39" s="10">
        <f>IF(Y36&lt;=0,0,ABS(PMT(Inputs!$C$11,Inputs!$C$13,B36,0)))</f>
        <v/>
      </c>
      <c r="AA39" s="10">
        <f>IF(Z36&lt;=0,0,ABS(PMT(Inputs!$C$11,Inputs!$C$13,B36,0)))</f>
        <v/>
      </c>
      <c r="AB39" s="10">
        <f>SUM(C39:AA39)</f>
        <v/>
      </c>
      <c r="AC39" s="10">
        <f>NPV(Inputs!$C$12,C39:AA39)</f>
        <v/>
      </c>
    </row>
    <row r="41">
      <c r="A41" s="4" t="inlineStr">
        <is>
          <t>Elec. Bill — No System ($)</t>
        </is>
      </c>
      <c r="B41" s="10" t="n">
        <v>0</v>
      </c>
      <c r="C41" s="15">
        <f>Inputs!C26</f>
        <v/>
      </c>
      <c r="D41" s="10">
        <f>C41*(1+Inputs!$C$14)</f>
        <v/>
      </c>
      <c r="E41" s="10">
        <f>D41*(1+Inputs!$C$14)</f>
        <v/>
      </c>
      <c r="F41" s="10">
        <f>E41*(1+Inputs!$C$14)</f>
        <v/>
      </c>
      <c r="G41" s="10">
        <f>F41*(1+Inputs!$C$14)</f>
        <v/>
      </c>
      <c r="H41" s="10">
        <f>G41*(1+Inputs!$C$14)</f>
        <v/>
      </c>
      <c r="I41" s="10">
        <f>H41*(1+Inputs!$C$14)</f>
        <v/>
      </c>
      <c r="J41" s="10">
        <f>I41*(1+Inputs!$C$14)</f>
        <v/>
      </c>
      <c r="K41" s="10">
        <f>J41*(1+Inputs!$C$14)</f>
        <v/>
      </c>
      <c r="L41" s="10">
        <f>K41*(1+Inputs!$C$14)</f>
        <v/>
      </c>
      <c r="M41" s="10">
        <f>L41*(1+Inputs!$C$14)</f>
        <v/>
      </c>
      <c r="N41" s="10">
        <f>M41*(1+Inputs!$C$14)</f>
        <v/>
      </c>
      <c r="O41" s="10">
        <f>N41*(1+Inputs!$C$14)</f>
        <v/>
      </c>
      <c r="P41" s="10">
        <f>O41*(1+Inputs!$C$14)</f>
        <v/>
      </c>
      <c r="Q41" s="10">
        <f>P41*(1+Inputs!$C$14)</f>
        <v/>
      </c>
      <c r="R41" s="10">
        <f>Q41*(1+Inputs!$C$14)</f>
        <v/>
      </c>
      <c r="S41" s="10">
        <f>R41*(1+Inputs!$C$14)</f>
        <v/>
      </c>
      <c r="T41" s="10">
        <f>S41*(1+Inputs!$C$14)</f>
        <v/>
      </c>
      <c r="U41" s="10">
        <f>T41*(1+Inputs!$C$14)</f>
        <v/>
      </c>
      <c r="V41" s="10">
        <f>U41*(1+Inputs!$C$14)</f>
        <v/>
      </c>
      <c r="W41" s="10">
        <f>V41*(1+Inputs!$C$14)</f>
        <v/>
      </c>
      <c r="X41" s="10">
        <f>W41*(1+Inputs!$C$14)</f>
        <v/>
      </c>
      <c r="Y41" s="10">
        <f>X41*(1+Inputs!$C$14)</f>
        <v/>
      </c>
      <c r="Z41" s="10">
        <f>Y41*(1+Inputs!$C$14)</f>
        <v/>
      </c>
      <c r="AA41" s="10">
        <f>Z41*(1+Inputs!$C$14)</f>
        <v/>
      </c>
    </row>
    <row r="42">
      <c r="A42" s="4" t="inlineStr">
        <is>
          <t>Elec. Bill — With System ($)</t>
        </is>
      </c>
      <c r="B42" s="10" t="n">
        <v>0</v>
      </c>
      <c r="C42" s="15">
        <f>Inputs!D26</f>
        <v/>
      </c>
      <c r="D42" s="10">
        <f>C42*(1+Inputs!$C$14)</f>
        <v/>
      </c>
      <c r="E42" s="10">
        <f>D42*(1+Inputs!$C$14)</f>
        <v/>
      </c>
      <c r="F42" s="10">
        <f>E42*(1+Inputs!$C$14)</f>
        <v/>
      </c>
      <c r="G42" s="10">
        <f>F42*(1+Inputs!$C$14)</f>
        <v/>
      </c>
      <c r="H42" s="10">
        <f>G42*(1+Inputs!$C$14)</f>
        <v/>
      </c>
      <c r="I42" s="10">
        <f>H42*(1+Inputs!$C$14)</f>
        <v/>
      </c>
      <c r="J42" s="10">
        <f>I42*(1+Inputs!$C$14)</f>
        <v/>
      </c>
      <c r="K42" s="10">
        <f>J42*(1+Inputs!$C$14)</f>
        <v/>
      </c>
      <c r="L42" s="10">
        <f>K42*(1+Inputs!$C$14)</f>
        <v/>
      </c>
      <c r="M42" s="10">
        <f>L42*(1+Inputs!$C$14)</f>
        <v/>
      </c>
      <c r="N42" s="10">
        <f>M42*(1+Inputs!$C$14)</f>
        <v/>
      </c>
      <c r="O42" s="10">
        <f>N42*(1+Inputs!$C$14)</f>
        <v/>
      </c>
      <c r="P42" s="10">
        <f>O42*(1+Inputs!$C$14)</f>
        <v/>
      </c>
      <c r="Q42" s="10">
        <f>P42*(1+Inputs!$C$14)</f>
        <v/>
      </c>
      <c r="R42" s="10">
        <f>Q42*(1+Inputs!$C$14)</f>
        <v/>
      </c>
      <c r="S42" s="10">
        <f>R42*(1+Inputs!$C$14)</f>
        <v/>
      </c>
      <c r="T42" s="10">
        <f>S42*(1+Inputs!$C$14)</f>
        <v/>
      </c>
      <c r="U42" s="10">
        <f>T42*(1+Inputs!$C$14)</f>
        <v/>
      </c>
      <c r="V42" s="10">
        <f>U42*(1+Inputs!$C$14)</f>
        <v/>
      </c>
      <c r="W42" s="10">
        <f>V42*(1+Inputs!$C$14)</f>
        <v/>
      </c>
      <c r="X42" s="10">
        <f>W42*(1+Inputs!$C$14)</f>
        <v/>
      </c>
      <c r="Y42" s="10">
        <f>X42*(1+Inputs!$C$14)</f>
        <v/>
      </c>
      <c r="Z42" s="10">
        <f>Y42*(1+Inputs!$C$14)</f>
        <v/>
      </c>
      <c r="AA42" s="10">
        <f>Z42*(1+Inputs!$C$14)</f>
        <v/>
      </c>
    </row>
    <row r="43">
      <c r="A43" s="4" t="inlineStr">
        <is>
          <t>Bill Savings ($)</t>
        </is>
      </c>
      <c r="B43" s="10" t="n">
        <v>0</v>
      </c>
      <c r="C43" s="10">
        <f>C41-C42</f>
        <v/>
      </c>
      <c r="D43" s="10">
        <f>D41-D42</f>
        <v/>
      </c>
      <c r="E43" s="10">
        <f>E41-E42</f>
        <v/>
      </c>
      <c r="F43" s="10">
        <f>F41-F42</f>
        <v/>
      </c>
      <c r="G43" s="10">
        <f>G41-G42</f>
        <v/>
      </c>
      <c r="H43" s="10">
        <f>H41-H42</f>
        <v/>
      </c>
      <c r="I43" s="10">
        <f>I41-I42</f>
        <v/>
      </c>
      <c r="J43" s="10">
        <f>J41-J42</f>
        <v/>
      </c>
      <c r="K43" s="10">
        <f>K41-K42</f>
        <v/>
      </c>
      <c r="L43" s="10">
        <f>L41-L42</f>
        <v/>
      </c>
      <c r="M43" s="10">
        <f>M41-M42</f>
        <v/>
      </c>
      <c r="N43" s="10">
        <f>N41-N42</f>
        <v/>
      </c>
      <c r="O43" s="10">
        <f>O41-O42</f>
        <v/>
      </c>
      <c r="P43" s="10">
        <f>P41-P42</f>
        <v/>
      </c>
      <c r="Q43" s="10">
        <f>Q41-Q42</f>
        <v/>
      </c>
      <c r="R43" s="10">
        <f>R41-R42</f>
        <v/>
      </c>
      <c r="S43" s="10">
        <f>S41-S42</f>
        <v/>
      </c>
      <c r="T43" s="10">
        <f>T41-T42</f>
        <v/>
      </c>
      <c r="U43" s="10">
        <f>U41-U42</f>
        <v/>
      </c>
      <c r="V43" s="10">
        <f>V41-V42</f>
        <v/>
      </c>
      <c r="W43" s="10">
        <f>W41-W42</f>
        <v/>
      </c>
      <c r="X43" s="10">
        <f>X41-X42</f>
        <v/>
      </c>
      <c r="Y43" s="10">
        <f>Y41-Y42</f>
        <v/>
      </c>
      <c r="Z43" s="10">
        <f>Z41-Z42</f>
        <v/>
      </c>
      <c r="AA43" s="10">
        <f>AA41-AA42</f>
        <v/>
      </c>
      <c r="AB43" s="10">
        <f>SUM(C43:AA43)</f>
        <v/>
      </c>
      <c r="AC43" s="10">
        <f>NPV(Inputs!$C$12,C43:AA43)</f>
        <v/>
      </c>
    </row>
    <row r="44">
      <c r="A44" s="4" t="inlineStr">
        <is>
          <t>Incentive Savings — Annual ($)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>
        <f>SUM(C44:AA44)</f>
        <v/>
      </c>
      <c r="AC44" s="10">
        <f>NPV(Inputs!$C$12,C44:AA44)</f>
        <v/>
      </c>
    </row>
    <row r="45">
      <c r="A45" s="16" t="inlineStr">
        <is>
          <t>Total Savings ($)</t>
        </is>
      </c>
      <c r="B45" s="10">
        <f>B43+B44</f>
        <v/>
      </c>
      <c r="C45" s="10">
        <f>C43+C44</f>
        <v/>
      </c>
      <c r="D45" s="10">
        <f>D43+D44</f>
        <v/>
      </c>
      <c r="E45" s="10">
        <f>E43+E44</f>
        <v/>
      </c>
      <c r="F45" s="10">
        <f>F43+F44</f>
        <v/>
      </c>
      <c r="G45" s="10">
        <f>G43+G44</f>
        <v/>
      </c>
      <c r="H45" s="10">
        <f>H43+H44</f>
        <v/>
      </c>
      <c r="I45" s="10">
        <f>I43+I44</f>
        <v/>
      </c>
      <c r="J45" s="10">
        <f>J43+J44</f>
        <v/>
      </c>
      <c r="K45" s="10">
        <f>K43+K44</f>
        <v/>
      </c>
      <c r="L45" s="10">
        <f>L43+L44</f>
        <v/>
      </c>
      <c r="M45" s="10">
        <f>M43+M44</f>
        <v/>
      </c>
      <c r="N45" s="10">
        <f>N43+N44</f>
        <v/>
      </c>
      <c r="O45" s="10">
        <f>O43+O44</f>
        <v/>
      </c>
      <c r="P45" s="10">
        <f>P43+P44</f>
        <v/>
      </c>
      <c r="Q45" s="10">
        <f>Q43+Q44</f>
        <v/>
      </c>
      <c r="R45" s="10">
        <f>R43+R44</f>
        <v/>
      </c>
      <c r="S45" s="10">
        <f>S43+S44</f>
        <v/>
      </c>
      <c r="T45" s="10">
        <f>T43+T44</f>
        <v/>
      </c>
      <c r="U45" s="10">
        <f>U43+U44</f>
        <v/>
      </c>
      <c r="V45" s="10">
        <f>V43+V44</f>
        <v/>
      </c>
      <c r="W45" s="10">
        <f>W43+W44</f>
        <v/>
      </c>
      <c r="X45" s="10">
        <f>X43+X44</f>
        <v/>
      </c>
      <c r="Y45" s="10">
        <f>Y43+Y44</f>
        <v/>
      </c>
      <c r="Z45" s="10">
        <f>Z43+Z44</f>
        <v/>
      </c>
      <c r="AA45" s="10">
        <f>AA43+AA44</f>
        <v/>
      </c>
      <c r="AB45" s="10">
        <f>SUM(C45:AA45)</f>
        <v/>
      </c>
      <c r="AC45" s="10">
        <f>NPV(Inputs!$C$12,C45:AA45)</f>
        <v/>
      </c>
    </row>
    <row r="46">
      <c r="A46" s="17" t="inlineStr">
        <is>
          <t>Net Savings ($)</t>
        </is>
      </c>
      <c r="B46" s="18">
        <f>B45-B39</f>
        <v/>
      </c>
      <c r="C46" s="18">
        <f>C45-C39</f>
        <v/>
      </c>
      <c r="D46" s="18">
        <f>D45-D39</f>
        <v/>
      </c>
      <c r="E46" s="18">
        <f>E45-E39</f>
        <v/>
      </c>
      <c r="F46" s="18">
        <f>F45-F39</f>
        <v/>
      </c>
      <c r="G46" s="18">
        <f>G45-G39</f>
        <v/>
      </c>
      <c r="H46" s="18">
        <f>H45-H39</f>
        <v/>
      </c>
      <c r="I46" s="18">
        <f>I45-I39</f>
        <v/>
      </c>
      <c r="J46" s="18">
        <f>J45-J39</f>
        <v/>
      </c>
      <c r="K46" s="18">
        <f>K45-K39</f>
        <v/>
      </c>
      <c r="L46" s="18">
        <f>L45-L39</f>
        <v/>
      </c>
      <c r="M46" s="18">
        <f>M45-M39</f>
        <v/>
      </c>
      <c r="N46" s="18">
        <f>N45-N39</f>
        <v/>
      </c>
      <c r="O46" s="18">
        <f>O45-O39</f>
        <v/>
      </c>
      <c r="P46" s="18">
        <f>P45-P39</f>
        <v/>
      </c>
      <c r="Q46" s="18">
        <f>Q45-Q39</f>
        <v/>
      </c>
      <c r="R46" s="18">
        <f>R45-R39</f>
        <v/>
      </c>
      <c r="S46" s="18">
        <f>S45-S39</f>
        <v/>
      </c>
      <c r="T46" s="18">
        <f>T45-T39</f>
        <v/>
      </c>
      <c r="U46" s="18">
        <f>U45-U39</f>
        <v/>
      </c>
      <c r="V46" s="18">
        <f>V45-V39</f>
        <v/>
      </c>
      <c r="W46" s="18">
        <f>W45-W39</f>
        <v/>
      </c>
      <c r="X46" s="18">
        <f>X45-X39</f>
        <v/>
      </c>
      <c r="Y46" s="18">
        <f>Y45-Y39</f>
        <v/>
      </c>
      <c r="Z46" s="18">
        <f>Z45-Z39</f>
        <v/>
      </c>
      <c r="AA46" s="18">
        <f>AA45-AA39</f>
        <v/>
      </c>
      <c r="AB46" s="18">
        <f>SUM(C46:AA46)</f>
        <v/>
      </c>
      <c r="AC46" s="18">
        <f>NPV(Inputs!$C$12,C46:AA46)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Solar Only — RSC Rate</t>
        </is>
      </c>
    </row>
    <row r="2">
      <c r="A2" s="2" t="inlineStr">
        <is>
          <t>All formulas reference Inputs sheet</t>
        </is>
      </c>
    </row>
    <row r="4">
      <c r="A4" s="3" t="inlineStr">
        <is>
          <t>Scenario 1: With FedITC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Inputs!C6-Inputs!C19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— P&amp;I ($)</t>
        </is>
      </c>
      <c r="B9" s="10" t="n">
        <v>0</v>
      </c>
      <c r="C9" s="10">
        <f>IF(B6&lt;=0,0,ABS(PMT(Inputs!$C$11,Inputs!$C$13,B6,0)))</f>
        <v/>
      </c>
      <c r="D9" s="10">
        <f>IF(C6&lt;=0,0,ABS(PMT(Inputs!$C$11,Inputs!$C$13,B6,0)))</f>
        <v/>
      </c>
      <c r="E9" s="10">
        <f>IF(D6&lt;=0,0,ABS(PMT(Inputs!$C$11,Inputs!$C$13,B6,0)))</f>
        <v/>
      </c>
      <c r="F9" s="10">
        <f>IF(E6&lt;=0,0,ABS(PMT(Inputs!$C$11,Inputs!$C$13,B6,0)))</f>
        <v/>
      </c>
      <c r="G9" s="10">
        <f>IF(F6&lt;=0,0,ABS(PMT(Inputs!$C$11,Inputs!$C$13,B6,0)))</f>
        <v/>
      </c>
      <c r="H9" s="10">
        <f>IF(G6&lt;=0,0,ABS(PMT(Inputs!$C$11,Inputs!$C$13,B6,0)))</f>
        <v/>
      </c>
      <c r="I9" s="10">
        <f>IF(H6&lt;=0,0,ABS(PMT(Inputs!$C$11,Inputs!$C$13,B6,0)))</f>
        <v/>
      </c>
      <c r="J9" s="10">
        <f>IF(I6&lt;=0,0,ABS(PMT(Inputs!$C$11,Inputs!$C$13,B6,0)))</f>
        <v/>
      </c>
      <c r="K9" s="10">
        <f>IF(J6&lt;=0,0,ABS(PMT(Inputs!$C$11,Inputs!$C$13,B6,0)))</f>
        <v/>
      </c>
      <c r="L9" s="10">
        <f>IF(K6&lt;=0,0,ABS(PMT(Inputs!$C$11,Inputs!$C$13,B6,0)))</f>
        <v/>
      </c>
      <c r="M9" s="10">
        <f>IF(L6&lt;=0,0,ABS(PMT(Inputs!$C$11,Inputs!$C$13,B6,0)))</f>
        <v/>
      </c>
      <c r="N9" s="10">
        <f>IF(M6&lt;=0,0,ABS(PMT(Inputs!$C$11,Inputs!$C$13,B6,0)))</f>
        <v/>
      </c>
      <c r="O9" s="10">
        <f>IF(N6&lt;=0,0,ABS(PMT(Inputs!$C$11,Inputs!$C$13,B6,0)))</f>
        <v/>
      </c>
      <c r="P9" s="10">
        <f>IF(O6&lt;=0,0,ABS(PMT(Inputs!$C$11,Inputs!$C$13,B6,0)))</f>
        <v/>
      </c>
      <c r="Q9" s="10">
        <f>IF(P6&lt;=0,0,ABS(PMT(Inputs!$C$11,Inputs!$C$13,B6,0)))</f>
        <v/>
      </c>
      <c r="R9" s="10">
        <f>IF(Q6&lt;=0,0,ABS(PMT(Inputs!$C$11,Inputs!$C$13,B6,0)))</f>
        <v/>
      </c>
      <c r="S9" s="10">
        <f>IF(R6&lt;=0,0,ABS(PMT(Inputs!$C$11,Inputs!$C$13,B6,0)))</f>
        <v/>
      </c>
      <c r="T9" s="10">
        <f>IF(S6&lt;=0,0,ABS(PMT(Inputs!$C$11,Inputs!$C$13,B6,0)))</f>
        <v/>
      </c>
      <c r="U9" s="10">
        <f>IF(T6&lt;=0,0,ABS(PMT(Inputs!$C$11,Inputs!$C$13,B6,0)))</f>
        <v/>
      </c>
      <c r="V9" s="10">
        <f>IF(U6&lt;=0,0,ABS(PMT(Inputs!$C$11,Inputs!$C$13,B6,0)))</f>
        <v/>
      </c>
      <c r="W9" s="10">
        <f>IF(V6&lt;=0,0,ABS(PMT(Inputs!$C$11,Inputs!$C$13,B6,0)))</f>
        <v/>
      </c>
      <c r="X9" s="10">
        <f>IF(W6&lt;=0,0,ABS(PMT(Inputs!$C$11,Inputs!$C$13,B6,0)))</f>
        <v/>
      </c>
      <c r="Y9" s="10">
        <f>IF(X6&lt;=0,0,ABS(PMT(Inputs!$C$11,Inputs!$C$13,B6,0)))</f>
        <v/>
      </c>
      <c r="Z9" s="10">
        <f>IF(Y6&lt;=0,0,ABS(PMT(Inputs!$C$11,Inputs!$C$13,B6,0)))</f>
        <v/>
      </c>
      <c r="AA9" s="10">
        <f>IF(Z6&lt;=0,0,ABS(PMT(Inputs!$C$11,Inputs!$C$13,B6,0)))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— No System ($)</t>
        </is>
      </c>
      <c r="B11" s="10" t="n">
        <v>0</v>
      </c>
      <c r="C11" s="15">
        <f>Inputs!C27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— With System ($)</t>
        </is>
      </c>
      <c r="B12" s="10" t="n">
        <v>0</v>
      </c>
      <c r="C12" s="15">
        <f>Inputs!D27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4" t="inlineStr">
        <is>
          <t>Incentive Savings — Annual ($)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>
        <f>SUM(C14:AA14)</f>
        <v/>
      </c>
      <c r="AC14" s="10">
        <f>NPV(Inputs!$C$12,C14:AA14)</f>
        <v/>
      </c>
    </row>
    <row r="15">
      <c r="A15" s="16" t="inlineStr">
        <is>
          <t>Total Savings ($)</t>
        </is>
      </c>
      <c r="B15" s="10">
        <f>B13+B14</f>
        <v/>
      </c>
      <c r="C15" s="10">
        <f>C13+C14</f>
        <v/>
      </c>
      <c r="D15" s="10">
        <f>D13+D14</f>
        <v/>
      </c>
      <c r="E15" s="10">
        <f>E13+E14</f>
        <v/>
      </c>
      <c r="F15" s="10">
        <f>F13+F14</f>
        <v/>
      </c>
      <c r="G15" s="10">
        <f>G13+G14</f>
        <v/>
      </c>
      <c r="H15" s="10">
        <f>H13+H14</f>
        <v/>
      </c>
      <c r="I15" s="10">
        <f>I13+I14</f>
        <v/>
      </c>
      <c r="J15" s="10">
        <f>J13+J14</f>
        <v/>
      </c>
      <c r="K15" s="10">
        <f>K13+K14</f>
        <v/>
      </c>
      <c r="L15" s="10">
        <f>L13+L14</f>
        <v/>
      </c>
      <c r="M15" s="10">
        <f>M13+M14</f>
        <v/>
      </c>
      <c r="N15" s="10">
        <f>N13+N14</f>
        <v/>
      </c>
      <c r="O15" s="10">
        <f>O13+O14</f>
        <v/>
      </c>
      <c r="P15" s="10">
        <f>P13+P14</f>
        <v/>
      </c>
      <c r="Q15" s="10">
        <f>Q13+Q14</f>
        <v/>
      </c>
      <c r="R15" s="10">
        <f>R13+R14</f>
        <v/>
      </c>
      <c r="S15" s="10">
        <f>S13+S14</f>
        <v/>
      </c>
      <c r="T15" s="10">
        <f>T13+T14</f>
        <v/>
      </c>
      <c r="U15" s="10">
        <f>U13+U14</f>
        <v/>
      </c>
      <c r="V15" s="10">
        <f>V13+V14</f>
        <v/>
      </c>
      <c r="W15" s="10">
        <f>W13+W14</f>
        <v/>
      </c>
      <c r="X15" s="10">
        <f>X13+X14</f>
        <v/>
      </c>
      <c r="Y15" s="10">
        <f>Y13+Y14</f>
        <v/>
      </c>
      <c r="Z15" s="10">
        <f>Z13+Z14</f>
        <v/>
      </c>
      <c r="AA15" s="10">
        <f>AA13+AA14</f>
        <v/>
      </c>
      <c r="AB15" s="10">
        <f>SUM(C15:AA15)</f>
        <v/>
      </c>
      <c r="AC15" s="10">
        <f>NPV(Inputs!$C$12,C15:AA15)</f>
        <v/>
      </c>
    </row>
    <row r="16">
      <c r="A16" s="17" t="inlineStr">
        <is>
          <t>Net Savings ($)</t>
        </is>
      </c>
      <c r="B16" s="18">
        <f>B15-B9</f>
        <v/>
      </c>
      <c r="C16" s="18">
        <f>C15-C9</f>
        <v/>
      </c>
      <c r="D16" s="18">
        <f>D15-D9</f>
        <v/>
      </c>
      <c r="E16" s="18">
        <f>E15-E9</f>
        <v/>
      </c>
      <c r="F16" s="18">
        <f>F15-F9</f>
        <v/>
      </c>
      <c r="G16" s="18">
        <f>G15-G9</f>
        <v/>
      </c>
      <c r="H16" s="18">
        <f>H15-H9</f>
        <v/>
      </c>
      <c r="I16" s="18">
        <f>I15-I9</f>
        <v/>
      </c>
      <c r="J16" s="18">
        <f>J15-J9</f>
        <v/>
      </c>
      <c r="K16" s="18">
        <f>K15-K9</f>
        <v/>
      </c>
      <c r="L16" s="18">
        <f>L15-L9</f>
        <v/>
      </c>
      <c r="M16" s="18">
        <f>M15-M9</f>
        <v/>
      </c>
      <c r="N16" s="18">
        <f>N15-N9</f>
        <v/>
      </c>
      <c r="O16" s="18">
        <f>O15-O9</f>
        <v/>
      </c>
      <c r="P16" s="18">
        <f>P15-P9</f>
        <v/>
      </c>
      <c r="Q16" s="18">
        <f>Q15-Q9</f>
        <v/>
      </c>
      <c r="R16" s="18">
        <f>R15-R9</f>
        <v/>
      </c>
      <c r="S16" s="18">
        <f>S15-S9</f>
        <v/>
      </c>
      <c r="T16" s="18">
        <f>T15-T9</f>
        <v/>
      </c>
      <c r="U16" s="18">
        <f>U15-U9</f>
        <v/>
      </c>
      <c r="V16" s="18">
        <f>V15-V9</f>
        <v/>
      </c>
      <c r="W16" s="18">
        <f>W15-W9</f>
        <v/>
      </c>
      <c r="X16" s="18">
        <f>X15-X9</f>
        <v/>
      </c>
      <c r="Y16" s="18">
        <f>Y15-Y9</f>
        <v/>
      </c>
      <c r="Z16" s="18">
        <f>Z15-Z9</f>
        <v/>
      </c>
      <c r="AA16" s="18">
        <f>AA15-AA9</f>
        <v/>
      </c>
      <c r="AB16" s="18">
        <f>SUM(C16:AA16)</f>
        <v/>
      </c>
      <c r="AC16" s="18">
        <f>NPV(Inputs!$C$12,C16:AA16)</f>
        <v/>
      </c>
    </row>
    <row r="19">
      <c r="A19" s="3" t="inlineStr">
        <is>
          <t>Scenario 2: No Incentives</t>
        </is>
      </c>
    </row>
    <row r="20">
      <c r="A20" s="13" t="inlineStr">
        <is>
          <t>Year</t>
        </is>
      </c>
      <c r="B20" s="14" t="n">
        <v>0</v>
      </c>
      <c r="C20" s="14" t="n">
        <v>1</v>
      </c>
      <c r="D20" s="14" t="n">
        <v>2</v>
      </c>
      <c r="E20" s="14" t="n">
        <v>3</v>
      </c>
      <c r="F20" s="14" t="n">
        <v>4</v>
      </c>
      <c r="G20" s="14" t="n">
        <v>5</v>
      </c>
      <c r="H20" s="14" t="n">
        <v>6</v>
      </c>
      <c r="I20" s="14" t="n">
        <v>7</v>
      </c>
      <c r="J20" s="14" t="n">
        <v>8</v>
      </c>
      <c r="K20" s="14" t="n">
        <v>9</v>
      </c>
      <c r="L20" s="14" t="n">
        <v>10</v>
      </c>
      <c r="M20" s="14" t="n">
        <v>11</v>
      </c>
      <c r="N20" s="14" t="n">
        <v>12</v>
      </c>
      <c r="O20" s="14" t="n">
        <v>13</v>
      </c>
      <c r="P20" s="14" t="n">
        <v>14</v>
      </c>
      <c r="Q20" s="14" t="n">
        <v>15</v>
      </c>
      <c r="R20" s="14" t="n">
        <v>16</v>
      </c>
      <c r="S20" s="14" t="n">
        <v>17</v>
      </c>
      <c r="T20" s="14" t="n">
        <v>18</v>
      </c>
      <c r="U20" s="14" t="n">
        <v>19</v>
      </c>
      <c r="V20" s="14" t="n">
        <v>20</v>
      </c>
      <c r="W20" s="14" t="n">
        <v>21</v>
      </c>
      <c r="X20" s="14" t="n">
        <v>22</v>
      </c>
      <c r="Y20" s="14" t="n">
        <v>23</v>
      </c>
      <c r="Z20" s="14" t="n">
        <v>24</v>
      </c>
      <c r="AA20" s="14" t="n">
        <v>25</v>
      </c>
      <c r="AB20" s="13" t="inlineStr">
        <is>
          <t>25yr Total</t>
        </is>
      </c>
      <c r="AC20" s="13" t="inlineStr">
        <is>
          <t>25yr NPV</t>
        </is>
      </c>
    </row>
    <row r="21">
      <c r="A21" s="4" t="inlineStr">
        <is>
          <t>Debt Balance ($)</t>
        </is>
      </c>
      <c r="B21" s="15">
        <f>Inputs!C6</f>
        <v/>
      </c>
      <c r="C21" s="10">
        <f>MAX(0,B21-C23)</f>
        <v/>
      </c>
      <c r="D21" s="10">
        <f>MAX(0,C21-D23)</f>
        <v/>
      </c>
      <c r="E21" s="10">
        <f>MAX(0,D21-E23)</f>
        <v/>
      </c>
      <c r="F21" s="10">
        <f>MAX(0,E21-F23)</f>
        <v/>
      </c>
      <c r="G21" s="10">
        <f>MAX(0,F21-G23)</f>
        <v/>
      </c>
      <c r="H21" s="10">
        <f>MAX(0,G21-H23)</f>
        <v/>
      </c>
      <c r="I21" s="10">
        <f>MAX(0,H21-I23)</f>
        <v/>
      </c>
      <c r="J21" s="10">
        <f>MAX(0,I21-J23)</f>
        <v/>
      </c>
      <c r="K21" s="10">
        <f>MAX(0,J21-K23)</f>
        <v/>
      </c>
      <c r="L21" s="10">
        <f>MAX(0,K21-L23)</f>
        <v/>
      </c>
      <c r="M21" s="10">
        <f>MAX(0,L21-M23)</f>
        <v/>
      </c>
      <c r="N21" s="10">
        <f>MAX(0,M21-N23)</f>
        <v/>
      </c>
      <c r="O21" s="10">
        <f>MAX(0,N21-O23)</f>
        <v/>
      </c>
      <c r="P21" s="10">
        <f>MAX(0,O21-P23)</f>
        <v/>
      </c>
      <c r="Q21" s="10">
        <f>MAX(0,P21-Q23)</f>
        <v/>
      </c>
      <c r="R21" s="10">
        <f>MAX(0,Q21-R23)</f>
        <v/>
      </c>
      <c r="S21" s="10">
        <f>MAX(0,R21-S23)</f>
        <v/>
      </c>
      <c r="T21" s="10">
        <f>MAX(0,S21-T23)</f>
        <v/>
      </c>
      <c r="U21" s="10">
        <f>MAX(0,T21-U23)</f>
        <v/>
      </c>
      <c r="V21" s="10">
        <f>MAX(0,U21-V23)</f>
        <v/>
      </c>
      <c r="W21" s="10">
        <f>MAX(0,V21-W23)</f>
        <v/>
      </c>
      <c r="X21" s="10">
        <f>MAX(0,W21-X23)</f>
        <v/>
      </c>
      <c r="Y21" s="10">
        <f>MAX(0,X21-Y23)</f>
        <v/>
      </c>
      <c r="Z21" s="10">
        <f>MAX(0,Y21-Z23)</f>
        <v/>
      </c>
      <c r="AA21" s="10">
        <f>MAX(0,Z21-AA23)</f>
        <v/>
      </c>
    </row>
    <row r="22">
      <c r="A22" s="4" t="inlineStr">
        <is>
          <t>Interest Payment ($)</t>
        </is>
      </c>
      <c r="B22" s="10" t="n">
        <v>0</v>
      </c>
      <c r="C22" s="10">
        <f>IF(B21&lt;=0,0,B21*Inputs!$C$11)</f>
        <v/>
      </c>
      <c r="D22" s="10">
        <f>IF(C21&lt;=0,0,C21*Inputs!$C$11)</f>
        <v/>
      </c>
      <c r="E22" s="10">
        <f>IF(D21&lt;=0,0,D21*Inputs!$C$11)</f>
        <v/>
      </c>
      <c r="F22" s="10">
        <f>IF(E21&lt;=0,0,E21*Inputs!$C$11)</f>
        <v/>
      </c>
      <c r="G22" s="10">
        <f>IF(F21&lt;=0,0,F21*Inputs!$C$11)</f>
        <v/>
      </c>
      <c r="H22" s="10">
        <f>IF(G21&lt;=0,0,G21*Inputs!$C$11)</f>
        <v/>
      </c>
      <c r="I22" s="10">
        <f>IF(H21&lt;=0,0,H21*Inputs!$C$11)</f>
        <v/>
      </c>
      <c r="J22" s="10">
        <f>IF(I21&lt;=0,0,I21*Inputs!$C$11)</f>
        <v/>
      </c>
      <c r="K22" s="10">
        <f>IF(J21&lt;=0,0,J21*Inputs!$C$11)</f>
        <v/>
      </c>
      <c r="L22" s="10">
        <f>IF(K21&lt;=0,0,K21*Inputs!$C$11)</f>
        <v/>
      </c>
      <c r="M22" s="10">
        <f>IF(L21&lt;=0,0,L21*Inputs!$C$11)</f>
        <v/>
      </c>
      <c r="N22" s="10">
        <f>IF(M21&lt;=0,0,M21*Inputs!$C$11)</f>
        <v/>
      </c>
      <c r="O22" s="10">
        <f>IF(N21&lt;=0,0,N21*Inputs!$C$11)</f>
        <v/>
      </c>
      <c r="P22" s="10">
        <f>IF(O21&lt;=0,0,O21*Inputs!$C$11)</f>
        <v/>
      </c>
      <c r="Q22" s="10">
        <f>IF(P21&lt;=0,0,P21*Inputs!$C$11)</f>
        <v/>
      </c>
      <c r="R22" s="10">
        <f>IF(Q21&lt;=0,0,Q21*Inputs!$C$11)</f>
        <v/>
      </c>
      <c r="S22" s="10">
        <f>IF(R21&lt;=0,0,R21*Inputs!$C$11)</f>
        <v/>
      </c>
      <c r="T22" s="10">
        <f>IF(S21&lt;=0,0,S21*Inputs!$C$11)</f>
        <v/>
      </c>
      <c r="U22" s="10">
        <f>IF(T21&lt;=0,0,T21*Inputs!$C$11)</f>
        <v/>
      </c>
      <c r="V22" s="10">
        <f>IF(U21&lt;=0,0,U21*Inputs!$C$11)</f>
        <v/>
      </c>
      <c r="W22" s="10">
        <f>IF(V21&lt;=0,0,V21*Inputs!$C$11)</f>
        <v/>
      </c>
      <c r="X22" s="10">
        <f>IF(W21&lt;=0,0,W21*Inputs!$C$11)</f>
        <v/>
      </c>
      <c r="Y22" s="10">
        <f>IF(X21&lt;=0,0,X21*Inputs!$C$11)</f>
        <v/>
      </c>
      <c r="Z22" s="10">
        <f>IF(Y21&lt;=0,0,Y21*Inputs!$C$11)</f>
        <v/>
      </c>
      <c r="AA22" s="10">
        <f>IF(Z21&lt;=0,0,Z21*Inputs!$C$11)</f>
        <v/>
      </c>
    </row>
    <row r="23">
      <c r="A23" s="4" t="inlineStr">
        <is>
          <t>Principal Payment ($)</t>
        </is>
      </c>
      <c r="B23" s="10" t="n">
        <v>0</v>
      </c>
      <c r="C23" s="10">
        <f>IF(B21&lt;=0,0,C24-C22)</f>
        <v/>
      </c>
      <c r="D23" s="10">
        <f>IF(B21&lt;=0,0,D24-D22)</f>
        <v/>
      </c>
      <c r="E23" s="10">
        <f>IF(B21&lt;=0,0,E24-E22)</f>
        <v/>
      </c>
      <c r="F23" s="10">
        <f>IF(B21&lt;=0,0,F24-F22)</f>
        <v/>
      </c>
      <c r="G23" s="10">
        <f>IF(B21&lt;=0,0,G24-G22)</f>
        <v/>
      </c>
      <c r="H23" s="10">
        <f>IF(B21&lt;=0,0,H24-H22)</f>
        <v/>
      </c>
      <c r="I23" s="10">
        <f>IF(B21&lt;=0,0,I24-I22)</f>
        <v/>
      </c>
      <c r="J23" s="10">
        <f>IF(B21&lt;=0,0,J24-J22)</f>
        <v/>
      </c>
      <c r="K23" s="10">
        <f>IF(B21&lt;=0,0,K24-K22)</f>
        <v/>
      </c>
      <c r="L23" s="10">
        <f>IF(B21&lt;=0,0,L24-L22)</f>
        <v/>
      </c>
      <c r="M23" s="10">
        <f>IF(B21&lt;=0,0,M24-M22)</f>
        <v/>
      </c>
      <c r="N23" s="10">
        <f>IF(B21&lt;=0,0,N24-N22)</f>
        <v/>
      </c>
      <c r="O23" s="10">
        <f>IF(B21&lt;=0,0,O24-O22)</f>
        <v/>
      </c>
      <c r="P23" s="10">
        <f>IF(B21&lt;=0,0,P24-P22)</f>
        <v/>
      </c>
      <c r="Q23" s="10">
        <f>IF(B21&lt;=0,0,Q24-Q22)</f>
        <v/>
      </c>
      <c r="R23" s="10">
        <f>IF(B21&lt;=0,0,R24-R22)</f>
        <v/>
      </c>
      <c r="S23" s="10">
        <f>IF(B21&lt;=0,0,S24-S22)</f>
        <v/>
      </c>
      <c r="T23" s="10">
        <f>IF(B21&lt;=0,0,T24-T22)</f>
        <v/>
      </c>
      <c r="U23" s="10">
        <f>IF(B21&lt;=0,0,U24-U22)</f>
        <v/>
      </c>
      <c r="V23" s="10">
        <f>IF(B21&lt;=0,0,V24-V22)</f>
        <v/>
      </c>
      <c r="W23" s="10">
        <f>IF(B21&lt;=0,0,W24-W22)</f>
        <v/>
      </c>
      <c r="X23" s="10">
        <f>IF(B21&lt;=0,0,X24-X22)</f>
        <v/>
      </c>
      <c r="Y23" s="10">
        <f>IF(B21&lt;=0,0,Y24-Y22)</f>
        <v/>
      </c>
      <c r="Z23" s="10">
        <f>IF(B21&lt;=0,0,Z24-Z22)</f>
        <v/>
      </c>
      <c r="AA23" s="10">
        <f>IF(B21&lt;=0,0,AA24-AA22)</f>
        <v/>
      </c>
    </row>
    <row r="24">
      <c r="A24" s="16" t="inlineStr">
        <is>
          <t>Total Payment — P&amp;I ($)</t>
        </is>
      </c>
      <c r="B24" s="10" t="n">
        <v>0</v>
      </c>
      <c r="C24" s="10">
        <f>IF(B21&lt;=0,0,ABS(PMT(Inputs!$C$11,Inputs!$C$13,B21,0)))</f>
        <v/>
      </c>
      <c r="D24" s="10">
        <f>IF(C21&lt;=0,0,ABS(PMT(Inputs!$C$11,Inputs!$C$13,B21,0)))</f>
        <v/>
      </c>
      <c r="E24" s="10">
        <f>IF(D21&lt;=0,0,ABS(PMT(Inputs!$C$11,Inputs!$C$13,B21,0)))</f>
        <v/>
      </c>
      <c r="F24" s="10">
        <f>IF(E21&lt;=0,0,ABS(PMT(Inputs!$C$11,Inputs!$C$13,B21,0)))</f>
        <v/>
      </c>
      <c r="G24" s="10">
        <f>IF(F21&lt;=0,0,ABS(PMT(Inputs!$C$11,Inputs!$C$13,B21,0)))</f>
        <v/>
      </c>
      <c r="H24" s="10">
        <f>IF(G21&lt;=0,0,ABS(PMT(Inputs!$C$11,Inputs!$C$13,B21,0)))</f>
        <v/>
      </c>
      <c r="I24" s="10">
        <f>IF(H21&lt;=0,0,ABS(PMT(Inputs!$C$11,Inputs!$C$13,B21,0)))</f>
        <v/>
      </c>
      <c r="J24" s="10">
        <f>IF(I21&lt;=0,0,ABS(PMT(Inputs!$C$11,Inputs!$C$13,B21,0)))</f>
        <v/>
      </c>
      <c r="K24" s="10">
        <f>IF(J21&lt;=0,0,ABS(PMT(Inputs!$C$11,Inputs!$C$13,B21,0)))</f>
        <v/>
      </c>
      <c r="L24" s="10">
        <f>IF(K21&lt;=0,0,ABS(PMT(Inputs!$C$11,Inputs!$C$13,B21,0)))</f>
        <v/>
      </c>
      <c r="M24" s="10">
        <f>IF(L21&lt;=0,0,ABS(PMT(Inputs!$C$11,Inputs!$C$13,B21,0)))</f>
        <v/>
      </c>
      <c r="N24" s="10">
        <f>IF(M21&lt;=0,0,ABS(PMT(Inputs!$C$11,Inputs!$C$13,B21,0)))</f>
        <v/>
      </c>
      <c r="O24" s="10">
        <f>IF(N21&lt;=0,0,ABS(PMT(Inputs!$C$11,Inputs!$C$13,B21,0)))</f>
        <v/>
      </c>
      <c r="P24" s="10">
        <f>IF(O21&lt;=0,0,ABS(PMT(Inputs!$C$11,Inputs!$C$13,B21,0)))</f>
        <v/>
      </c>
      <c r="Q24" s="10">
        <f>IF(P21&lt;=0,0,ABS(PMT(Inputs!$C$11,Inputs!$C$13,B21,0)))</f>
        <v/>
      </c>
      <c r="R24" s="10">
        <f>IF(Q21&lt;=0,0,ABS(PMT(Inputs!$C$11,Inputs!$C$13,B21,0)))</f>
        <v/>
      </c>
      <c r="S24" s="10">
        <f>IF(R21&lt;=0,0,ABS(PMT(Inputs!$C$11,Inputs!$C$13,B21,0)))</f>
        <v/>
      </c>
      <c r="T24" s="10">
        <f>IF(S21&lt;=0,0,ABS(PMT(Inputs!$C$11,Inputs!$C$13,B21,0)))</f>
        <v/>
      </c>
      <c r="U24" s="10">
        <f>IF(T21&lt;=0,0,ABS(PMT(Inputs!$C$11,Inputs!$C$13,B21,0)))</f>
        <v/>
      </c>
      <c r="V24" s="10">
        <f>IF(U21&lt;=0,0,ABS(PMT(Inputs!$C$11,Inputs!$C$13,B21,0)))</f>
        <v/>
      </c>
      <c r="W24" s="10">
        <f>IF(V21&lt;=0,0,ABS(PMT(Inputs!$C$11,Inputs!$C$13,B21,0)))</f>
        <v/>
      </c>
      <c r="X24" s="10">
        <f>IF(W21&lt;=0,0,ABS(PMT(Inputs!$C$11,Inputs!$C$13,B21,0)))</f>
        <v/>
      </c>
      <c r="Y24" s="10">
        <f>IF(X21&lt;=0,0,ABS(PMT(Inputs!$C$11,Inputs!$C$13,B21,0)))</f>
        <v/>
      </c>
      <c r="Z24" s="10">
        <f>IF(Y21&lt;=0,0,ABS(PMT(Inputs!$C$11,Inputs!$C$13,B21,0)))</f>
        <v/>
      </c>
      <c r="AA24" s="10">
        <f>IF(Z21&lt;=0,0,ABS(PMT(Inputs!$C$11,Inputs!$C$13,B21,0)))</f>
        <v/>
      </c>
      <c r="AB24" s="10">
        <f>SUM(C24:AA24)</f>
        <v/>
      </c>
      <c r="AC24" s="10">
        <f>NPV(Inputs!$C$12,C24:AA24)</f>
        <v/>
      </c>
    </row>
    <row r="26">
      <c r="A26" s="4" t="inlineStr">
        <is>
          <t>Elec. Bill — No System ($)</t>
        </is>
      </c>
      <c r="B26" s="10" t="n">
        <v>0</v>
      </c>
      <c r="C26" s="15">
        <f>Inputs!C27</f>
        <v/>
      </c>
      <c r="D26" s="10">
        <f>C26*(1+Inputs!$C$14)</f>
        <v/>
      </c>
      <c r="E26" s="10">
        <f>D26*(1+Inputs!$C$14)</f>
        <v/>
      </c>
      <c r="F26" s="10">
        <f>E26*(1+Inputs!$C$14)</f>
        <v/>
      </c>
      <c r="G26" s="10">
        <f>F26*(1+Inputs!$C$14)</f>
        <v/>
      </c>
      <c r="H26" s="10">
        <f>G26*(1+Inputs!$C$14)</f>
        <v/>
      </c>
      <c r="I26" s="10">
        <f>H26*(1+Inputs!$C$14)</f>
        <v/>
      </c>
      <c r="J26" s="10">
        <f>I26*(1+Inputs!$C$14)</f>
        <v/>
      </c>
      <c r="K26" s="10">
        <f>J26*(1+Inputs!$C$14)</f>
        <v/>
      </c>
      <c r="L26" s="10">
        <f>K26*(1+Inputs!$C$14)</f>
        <v/>
      </c>
      <c r="M26" s="10">
        <f>L26*(1+Inputs!$C$14)</f>
        <v/>
      </c>
      <c r="N26" s="10">
        <f>M26*(1+Inputs!$C$14)</f>
        <v/>
      </c>
      <c r="O26" s="10">
        <f>N26*(1+Inputs!$C$14)</f>
        <v/>
      </c>
      <c r="P26" s="10">
        <f>O26*(1+Inputs!$C$14)</f>
        <v/>
      </c>
      <c r="Q26" s="10">
        <f>P26*(1+Inputs!$C$14)</f>
        <v/>
      </c>
      <c r="R26" s="10">
        <f>Q26*(1+Inputs!$C$14)</f>
        <v/>
      </c>
      <c r="S26" s="10">
        <f>R26*(1+Inputs!$C$14)</f>
        <v/>
      </c>
      <c r="T26" s="10">
        <f>S26*(1+Inputs!$C$14)</f>
        <v/>
      </c>
      <c r="U26" s="10">
        <f>T26*(1+Inputs!$C$14)</f>
        <v/>
      </c>
      <c r="V26" s="10">
        <f>U26*(1+Inputs!$C$14)</f>
        <v/>
      </c>
      <c r="W26" s="10">
        <f>V26*(1+Inputs!$C$14)</f>
        <v/>
      </c>
      <c r="X26" s="10">
        <f>W26*(1+Inputs!$C$14)</f>
        <v/>
      </c>
      <c r="Y26" s="10">
        <f>X26*(1+Inputs!$C$14)</f>
        <v/>
      </c>
      <c r="Z26" s="10">
        <f>Y26*(1+Inputs!$C$14)</f>
        <v/>
      </c>
      <c r="AA26" s="10">
        <f>Z26*(1+Inputs!$C$14)</f>
        <v/>
      </c>
    </row>
    <row r="27">
      <c r="A27" s="4" t="inlineStr">
        <is>
          <t>Elec. Bill — With System ($)</t>
        </is>
      </c>
      <c r="B27" s="10" t="n">
        <v>0</v>
      </c>
      <c r="C27" s="15">
        <f>Inputs!D27</f>
        <v/>
      </c>
      <c r="D27" s="10">
        <f>C27*(1+Inputs!$C$14)</f>
        <v/>
      </c>
      <c r="E27" s="10">
        <f>D27*(1+Inputs!$C$14)</f>
        <v/>
      </c>
      <c r="F27" s="10">
        <f>E27*(1+Inputs!$C$14)</f>
        <v/>
      </c>
      <c r="G27" s="10">
        <f>F27*(1+Inputs!$C$14)</f>
        <v/>
      </c>
      <c r="H27" s="10">
        <f>G27*(1+Inputs!$C$14)</f>
        <v/>
      </c>
      <c r="I27" s="10">
        <f>H27*(1+Inputs!$C$14)</f>
        <v/>
      </c>
      <c r="J27" s="10">
        <f>I27*(1+Inputs!$C$14)</f>
        <v/>
      </c>
      <c r="K27" s="10">
        <f>J27*(1+Inputs!$C$14)</f>
        <v/>
      </c>
      <c r="L27" s="10">
        <f>K27*(1+Inputs!$C$14)</f>
        <v/>
      </c>
      <c r="M27" s="10">
        <f>L27*(1+Inputs!$C$14)</f>
        <v/>
      </c>
      <c r="N27" s="10">
        <f>M27*(1+Inputs!$C$14)</f>
        <v/>
      </c>
      <c r="O27" s="10">
        <f>N27*(1+Inputs!$C$14)</f>
        <v/>
      </c>
      <c r="P27" s="10">
        <f>O27*(1+Inputs!$C$14)</f>
        <v/>
      </c>
      <c r="Q27" s="10">
        <f>P27*(1+Inputs!$C$14)</f>
        <v/>
      </c>
      <c r="R27" s="10">
        <f>Q27*(1+Inputs!$C$14)</f>
        <v/>
      </c>
      <c r="S27" s="10">
        <f>R27*(1+Inputs!$C$14)</f>
        <v/>
      </c>
      <c r="T27" s="10">
        <f>S27*(1+Inputs!$C$14)</f>
        <v/>
      </c>
      <c r="U27" s="10">
        <f>T27*(1+Inputs!$C$14)</f>
        <v/>
      </c>
      <c r="V27" s="10">
        <f>U27*(1+Inputs!$C$14)</f>
        <v/>
      </c>
      <c r="W27" s="10">
        <f>V27*(1+Inputs!$C$14)</f>
        <v/>
      </c>
      <c r="X27" s="10">
        <f>W27*(1+Inputs!$C$14)</f>
        <v/>
      </c>
      <c r="Y27" s="10">
        <f>X27*(1+Inputs!$C$14)</f>
        <v/>
      </c>
      <c r="Z27" s="10">
        <f>Y27*(1+Inputs!$C$14)</f>
        <v/>
      </c>
      <c r="AA27" s="10">
        <f>Z27*(1+Inputs!$C$14)</f>
        <v/>
      </c>
    </row>
    <row r="28">
      <c r="A28" s="4" t="inlineStr">
        <is>
          <t>Bill Savings ($)</t>
        </is>
      </c>
      <c r="B28" s="10" t="n">
        <v>0</v>
      </c>
      <c r="C28" s="10">
        <f>C26-C27</f>
        <v/>
      </c>
      <c r="D28" s="10">
        <f>D26-D27</f>
        <v/>
      </c>
      <c r="E28" s="10">
        <f>E26-E27</f>
        <v/>
      </c>
      <c r="F28" s="10">
        <f>F26-F27</f>
        <v/>
      </c>
      <c r="G28" s="10">
        <f>G26-G27</f>
        <v/>
      </c>
      <c r="H28" s="10">
        <f>H26-H27</f>
        <v/>
      </c>
      <c r="I28" s="10">
        <f>I26-I27</f>
        <v/>
      </c>
      <c r="J28" s="10">
        <f>J26-J27</f>
        <v/>
      </c>
      <c r="K28" s="10">
        <f>K26-K27</f>
        <v/>
      </c>
      <c r="L28" s="10">
        <f>L26-L27</f>
        <v/>
      </c>
      <c r="M28" s="10">
        <f>M26-M27</f>
        <v/>
      </c>
      <c r="N28" s="10">
        <f>N26-N27</f>
        <v/>
      </c>
      <c r="O28" s="10">
        <f>O26-O27</f>
        <v/>
      </c>
      <c r="P28" s="10">
        <f>P26-P27</f>
        <v/>
      </c>
      <c r="Q28" s="10">
        <f>Q26-Q27</f>
        <v/>
      </c>
      <c r="R28" s="10">
        <f>R26-R27</f>
        <v/>
      </c>
      <c r="S28" s="10">
        <f>S26-S27</f>
        <v/>
      </c>
      <c r="T28" s="10">
        <f>T26-T27</f>
        <v/>
      </c>
      <c r="U28" s="10">
        <f>U26-U27</f>
        <v/>
      </c>
      <c r="V28" s="10">
        <f>V26-V27</f>
        <v/>
      </c>
      <c r="W28" s="10">
        <f>W26-W27</f>
        <v/>
      </c>
      <c r="X28" s="10">
        <f>X26-X27</f>
        <v/>
      </c>
      <c r="Y28" s="10">
        <f>Y26-Y27</f>
        <v/>
      </c>
      <c r="Z28" s="10">
        <f>Z26-Z27</f>
        <v/>
      </c>
      <c r="AA28" s="10">
        <f>AA26-AA27</f>
        <v/>
      </c>
      <c r="AB28" s="10">
        <f>SUM(C28:AA28)</f>
        <v/>
      </c>
      <c r="AC28" s="10">
        <f>NPV(Inputs!$C$12,C28:AA28)</f>
        <v/>
      </c>
    </row>
    <row r="29">
      <c r="A29" s="4" t="inlineStr">
        <is>
          <t>Incentive Savings — Annual ($)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>
        <f>SUM(C29:AA29)</f>
        <v/>
      </c>
      <c r="AC29" s="10">
        <f>NPV(Inputs!$C$12,C29:AA29)</f>
        <v/>
      </c>
    </row>
    <row r="30">
      <c r="A30" s="16" t="inlineStr">
        <is>
          <t>Total Savings ($)</t>
        </is>
      </c>
      <c r="B30" s="10">
        <f>B28+B29</f>
        <v/>
      </c>
      <c r="C30" s="10">
        <f>C28+C29</f>
        <v/>
      </c>
      <c r="D30" s="10">
        <f>D28+D29</f>
        <v/>
      </c>
      <c r="E30" s="10">
        <f>E28+E29</f>
        <v/>
      </c>
      <c r="F30" s="10">
        <f>F28+F29</f>
        <v/>
      </c>
      <c r="G30" s="10">
        <f>G28+G29</f>
        <v/>
      </c>
      <c r="H30" s="10">
        <f>H28+H29</f>
        <v/>
      </c>
      <c r="I30" s="10">
        <f>I28+I29</f>
        <v/>
      </c>
      <c r="J30" s="10">
        <f>J28+J29</f>
        <v/>
      </c>
      <c r="K30" s="10">
        <f>K28+K29</f>
        <v/>
      </c>
      <c r="L30" s="10">
        <f>L28+L29</f>
        <v/>
      </c>
      <c r="M30" s="10">
        <f>M28+M29</f>
        <v/>
      </c>
      <c r="N30" s="10">
        <f>N28+N29</f>
        <v/>
      </c>
      <c r="O30" s="10">
        <f>O28+O29</f>
        <v/>
      </c>
      <c r="P30" s="10">
        <f>P28+P29</f>
        <v/>
      </c>
      <c r="Q30" s="10">
        <f>Q28+Q29</f>
        <v/>
      </c>
      <c r="R30" s="10">
        <f>R28+R29</f>
        <v/>
      </c>
      <c r="S30" s="10">
        <f>S28+S29</f>
        <v/>
      </c>
      <c r="T30" s="10">
        <f>T28+T29</f>
        <v/>
      </c>
      <c r="U30" s="10">
        <f>U28+U29</f>
        <v/>
      </c>
      <c r="V30" s="10">
        <f>V28+V29</f>
        <v/>
      </c>
      <c r="W30" s="10">
        <f>W28+W29</f>
        <v/>
      </c>
      <c r="X30" s="10">
        <f>X28+X29</f>
        <v/>
      </c>
      <c r="Y30" s="10">
        <f>Y28+Y29</f>
        <v/>
      </c>
      <c r="Z30" s="10">
        <f>Z28+Z29</f>
        <v/>
      </c>
      <c r="AA30" s="10">
        <f>AA28+AA29</f>
        <v/>
      </c>
      <c r="AB30" s="10">
        <f>SUM(C30:AA30)</f>
        <v/>
      </c>
      <c r="AC30" s="10">
        <f>NPV(Inputs!$C$12,C30:AA30)</f>
        <v/>
      </c>
    </row>
    <row r="31">
      <c r="A31" s="17" t="inlineStr">
        <is>
          <t>Net Savings ($)</t>
        </is>
      </c>
      <c r="B31" s="18">
        <f>B30-B24</f>
        <v/>
      </c>
      <c r="C31" s="18">
        <f>C30-C24</f>
        <v/>
      </c>
      <c r="D31" s="18">
        <f>D30-D24</f>
        <v/>
      </c>
      <c r="E31" s="18">
        <f>E30-E24</f>
        <v/>
      </c>
      <c r="F31" s="18">
        <f>F30-F24</f>
        <v/>
      </c>
      <c r="G31" s="18">
        <f>G30-G24</f>
        <v/>
      </c>
      <c r="H31" s="18">
        <f>H30-H24</f>
        <v/>
      </c>
      <c r="I31" s="18">
        <f>I30-I24</f>
        <v/>
      </c>
      <c r="J31" s="18">
        <f>J30-J24</f>
        <v/>
      </c>
      <c r="K31" s="18">
        <f>K30-K24</f>
        <v/>
      </c>
      <c r="L31" s="18">
        <f>L30-L24</f>
        <v/>
      </c>
      <c r="M31" s="18">
        <f>M30-M24</f>
        <v/>
      </c>
      <c r="N31" s="18">
        <f>N30-N24</f>
        <v/>
      </c>
      <c r="O31" s="18">
        <f>O30-O24</f>
        <v/>
      </c>
      <c r="P31" s="18">
        <f>P30-P24</f>
        <v/>
      </c>
      <c r="Q31" s="18">
        <f>Q30-Q24</f>
        <v/>
      </c>
      <c r="R31" s="18">
        <f>R30-R24</f>
        <v/>
      </c>
      <c r="S31" s="18">
        <f>S30-S24</f>
        <v/>
      </c>
      <c r="T31" s="18">
        <f>T30-T24</f>
        <v/>
      </c>
      <c r="U31" s="18">
        <f>U30-U24</f>
        <v/>
      </c>
      <c r="V31" s="18">
        <f>V30-V24</f>
        <v/>
      </c>
      <c r="W31" s="18">
        <f>W30-W24</f>
        <v/>
      </c>
      <c r="X31" s="18">
        <f>X30-X24</f>
        <v/>
      </c>
      <c r="Y31" s="18">
        <f>Y30-Y24</f>
        <v/>
      </c>
      <c r="Z31" s="18">
        <f>Z30-Z24</f>
        <v/>
      </c>
      <c r="AA31" s="18">
        <f>AA30-AA24</f>
        <v/>
      </c>
      <c r="AB31" s="18">
        <f>SUM(C31:AA31)</f>
        <v/>
      </c>
      <c r="AC31" s="18">
        <f>NPV(Inputs!$C$12,C31:AA31)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Solar Only — Bridge (NMB/TOU) Rate</t>
        </is>
      </c>
    </row>
    <row r="2">
      <c r="A2" s="2" t="inlineStr">
        <is>
          <t>All formulas reference Inputs sheet</t>
        </is>
      </c>
    </row>
    <row r="4">
      <c r="A4" s="3" t="inlineStr">
        <is>
          <t>Scenario 1: With FedITC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Inputs!C6-Inputs!C19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— P&amp;I ($)</t>
        </is>
      </c>
      <c r="B9" s="10" t="n">
        <v>0</v>
      </c>
      <c r="C9" s="10">
        <f>IF(B6&lt;=0,0,ABS(PMT(Inputs!$C$11,Inputs!$C$13,B6,0)))</f>
        <v/>
      </c>
      <c r="D9" s="10">
        <f>IF(C6&lt;=0,0,ABS(PMT(Inputs!$C$11,Inputs!$C$13,B6,0)))</f>
        <v/>
      </c>
      <c r="E9" s="10">
        <f>IF(D6&lt;=0,0,ABS(PMT(Inputs!$C$11,Inputs!$C$13,B6,0)))</f>
        <v/>
      </c>
      <c r="F9" s="10">
        <f>IF(E6&lt;=0,0,ABS(PMT(Inputs!$C$11,Inputs!$C$13,B6,0)))</f>
        <v/>
      </c>
      <c r="G9" s="10">
        <f>IF(F6&lt;=0,0,ABS(PMT(Inputs!$C$11,Inputs!$C$13,B6,0)))</f>
        <v/>
      </c>
      <c r="H9" s="10">
        <f>IF(G6&lt;=0,0,ABS(PMT(Inputs!$C$11,Inputs!$C$13,B6,0)))</f>
        <v/>
      </c>
      <c r="I9" s="10">
        <f>IF(H6&lt;=0,0,ABS(PMT(Inputs!$C$11,Inputs!$C$13,B6,0)))</f>
        <v/>
      </c>
      <c r="J9" s="10">
        <f>IF(I6&lt;=0,0,ABS(PMT(Inputs!$C$11,Inputs!$C$13,B6,0)))</f>
        <v/>
      </c>
      <c r="K9" s="10">
        <f>IF(J6&lt;=0,0,ABS(PMT(Inputs!$C$11,Inputs!$C$13,B6,0)))</f>
        <v/>
      </c>
      <c r="L9" s="10">
        <f>IF(K6&lt;=0,0,ABS(PMT(Inputs!$C$11,Inputs!$C$13,B6,0)))</f>
        <v/>
      </c>
      <c r="M9" s="10">
        <f>IF(L6&lt;=0,0,ABS(PMT(Inputs!$C$11,Inputs!$C$13,B6,0)))</f>
        <v/>
      </c>
      <c r="N9" s="10">
        <f>IF(M6&lt;=0,0,ABS(PMT(Inputs!$C$11,Inputs!$C$13,B6,0)))</f>
        <v/>
      </c>
      <c r="O9" s="10">
        <f>IF(N6&lt;=0,0,ABS(PMT(Inputs!$C$11,Inputs!$C$13,B6,0)))</f>
        <v/>
      </c>
      <c r="P9" s="10">
        <f>IF(O6&lt;=0,0,ABS(PMT(Inputs!$C$11,Inputs!$C$13,B6,0)))</f>
        <v/>
      </c>
      <c r="Q9" s="10">
        <f>IF(P6&lt;=0,0,ABS(PMT(Inputs!$C$11,Inputs!$C$13,B6,0)))</f>
        <v/>
      </c>
      <c r="R9" s="10">
        <f>IF(Q6&lt;=0,0,ABS(PMT(Inputs!$C$11,Inputs!$C$13,B6,0)))</f>
        <v/>
      </c>
      <c r="S9" s="10">
        <f>IF(R6&lt;=0,0,ABS(PMT(Inputs!$C$11,Inputs!$C$13,B6,0)))</f>
        <v/>
      </c>
      <c r="T9" s="10">
        <f>IF(S6&lt;=0,0,ABS(PMT(Inputs!$C$11,Inputs!$C$13,B6,0)))</f>
        <v/>
      </c>
      <c r="U9" s="10">
        <f>IF(T6&lt;=0,0,ABS(PMT(Inputs!$C$11,Inputs!$C$13,B6,0)))</f>
        <v/>
      </c>
      <c r="V9" s="10">
        <f>IF(U6&lt;=0,0,ABS(PMT(Inputs!$C$11,Inputs!$C$13,B6,0)))</f>
        <v/>
      </c>
      <c r="W9" s="10">
        <f>IF(V6&lt;=0,0,ABS(PMT(Inputs!$C$11,Inputs!$C$13,B6,0)))</f>
        <v/>
      </c>
      <c r="X9" s="10">
        <f>IF(W6&lt;=0,0,ABS(PMT(Inputs!$C$11,Inputs!$C$13,B6,0)))</f>
        <v/>
      </c>
      <c r="Y9" s="10">
        <f>IF(X6&lt;=0,0,ABS(PMT(Inputs!$C$11,Inputs!$C$13,B6,0)))</f>
        <v/>
      </c>
      <c r="Z9" s="10">
        <f>IF(Y6&lt;=0,0,ABS(PMT(Inputs!$C$11,Inputs!$C$13,B6,0)))</f>
        <v/>
      </c>
      <c r="AA9" s="10">
        <f>IF(Z6&lt;=0,0,ABS(PMT(Inputs!$C$11,Inputs!$C$13,B6,0)))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— No System ($)</t>
        </is>
      </c>
      <c r="B11" s="10" t="n">
        <v>0</v>
      </c>
      <c r="C11" s="15">
        <f>Inputs!C28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— With System ($)</t>
        </is>
      </c>
      <c r="B12" s="10" t="n">
        <v>0</v>
      </c>
      <c r="C12" s="15">
        <f>Inputs!D28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4" t="inlineStr">
        <is>
          <t>Incentive Savings — Annual ($)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>
        <f>SUM(C14:AA14)</f>
        <v/>
      </c>
      <c r="AC14" s="10">
        <f>NPV(Inputs!$C$12,C14:AA14)</f>
        <v/>
      </c>
    </row>
    <row r="15">
      <c r="A15" s="16" t="inlineStr">
        <is>
          <t>Total Savings ($)</t>
        </is>
      </c>
      <c r="B15" s="10">
        <f>B13+B14</f>
        <v/>
      </c>
      <c r="C15" s="10">
        <f>C13+C14</f>
        <v/>
      </c>
      <c r="D15" s="10">
        <f>D13+D14</f>
        <v/>
      </c>
      <c r="E15" s="10">
        <f>E13+E14</f>
        <v/>
      </c>
      <c r="F15" s="10">
        <f>F13+F14</f>
        <v/>
      </c>
      <c r="G15" s="10">
        <f>G13+G14</f>
        <v/>
      </c>
      <c r="H15" s="10">
        <f>H13+H14</f>
        <v/>
      </c>
      <c r="I15" s="10">
        <f>I13+I14</f>
        <v/>
      </c>
      <c r="J15" s="10">
        <f>J13+J14</f>
        <v/>
      </c>
      <c r="K15" s="10">
        <f>K13+K14</f>
        <v/>
      </c>
      <c r="L15" s="10">
        <f>L13+L14</f>
        <v/>
      </c>
      <c r="M15" s="10">
        <f>M13+M14</f>
        <v/>
      </c>
      <c r="N15" s="10">
        <f>N13+N14</f>
        <v/>
      </c>
      <c r="O15" s="10">
        <f>O13+O14</f>
        <v/>
      </c>
      <c r="P15" s="10">
        <f>P13+P14</f>
        <v/>
      </c>
      <c r="Q15" s="10">
        <f>Q13+Q14</f>
        <v/>
      </c>
      <c r="R15" s="10">
        <f>R13+R14</f>
        <v/>
      </c>
      <c r="S15" s="10">
        <f>S13+S14</f>
        <v/>
      </c>
      <c r="T15" s="10">
        <f>T13+T14</f>
        <v/>
      </c>
      <c r="U15" s="10">
        <f>U13+U14</f>
        <v/>
      </c>
      <c r="V15" s="10">
        <f>V13+V14</f>
        <v/>
      </c>
      <c r="W15" s="10">
        <f>W13+W14</f>
        <v/>
      </c>
      <c r="X15" s="10">
        <f>X13+X14</f>
        <v/>
      </c>
      <c r="Y15" s="10">
        <f>Y13+Y14</f>
        <v/>
      </c>
      <c r="Z15" s="10">
        <f>Z13+Z14</f>
        <v/>
      </c>
      <c r="AA15" s="10">
        <f>AA13+AA14</f>
        <v/>
      </c>
      <c r="AB15" s="10">
        <f>SUM(C15:AA15)</f>
        <v/>
      </c>
      <c r="AC15" s="10">
        <f>NPV(Inputs!$C$12,C15:AA15)</f>
        <v/>
      </c>
    </row>
    <row r="16">
      <c r="A16" s="17" t="inlineStr">
        <is>
          <t>Net Savings ($)</t>
        </is>
      </c>
      <c r="B16" s="18">
        <f>B15-B9</f>
        <v/>
      </c>
      <c r="C16" s="18">
        <f>C15-C9</f>
        <v/>
      </c>
      <c r="D16" s="18">
        <f>D15-D9</f>
        <v/>
      </c>
      <c r="E16" s="18">
        <f>E15-E9</f>
        <v/>
      </c>
      <c r="F16" s="18">
        <f>F15-F9</f>
        <v/>
      </c>
      <c r="G16" s="18">
        <f>G15-G9</f>
        <v/>
      </c>
      <c r="H16" s="18">
        <f>H15-H9</f>
        <v/>
      </c>
      <c r="I16" s="18">
        <f>I15-I9</f>
        <v/>
      </c>
      <c r="J16" s="18">
        <f>J15-J9</f>
        <v/>
      </c>
      <c r="K16" s="18">
        <f>K15-K9</f>
        <v/>
      </c>
      <c r="L16" s="18">
        <f>L15-L9</f>
        <v/>
      </c>
      <c r="M16" s="18">
        <f>M15-M9</f>
        <v/>
      </c>
      <c r="N16" s="18">
        <f>N15-N9</f>
        <v/>
      </c>
      <c r="O16" s="18">
        <f>O15-O9</f>
        <v/>
      </c>
      <c r="P16" s="18">
        <f>P15-P9</f>
        <v/>
      </c>
      <c r="Q16" s="18">
        <f>Q15-Q9</f>
        <v/>
      </c>
      <c r="R16" s="18">
        <f>R15-R9</f>
        <v/>
      </c>
      <c r="S16" s="18">
        <f>S15-S9</f>
        <v/>
      </c>
      <c r="T16" s="18">
        <f>T15-T9</f>
        <v/>
      </c>
      <c r="U16" s="18">
        <f>U15-U9</f>
        <v/>
      </c>
      <c r="V16" s="18">
        <f>V15-V9</f>
        <v/>
      </c>
      <c r="W16" s="18">
        <f>W15-W9</f>
        <v/>
      </c>
      <c r="X16" s="18">
        <f>X15-X9</f>
        <v/>
      </c>
      <c r="Y16" s="18">
        <f>Y15-Y9</f>
        <v/>
      </c>
      <c r="Z16" s="18">
        <f>Z15-Z9</f>
        <v/>
      </c>
      <c r="AA16" s="18">
        <f>AA15-AA9</f>
        <v/>
      </c>
      <c r="AB16" s="18">
        <f>SUM(C16:AA16)</f>
        <v/>
      </c>
      <c r="AC16" s="18">
        <f>NPV(Inputs!$C$12,C16:AA16)</f>
        <v/>
      </c>
    </row>
    <row r="19">
      <c r="A19" s="3" t="inlineStr">
        <is>
          <t>Scenario 2: No Incentives</t>
        </is>
      </c>
    </row>
    <row r="20">
      <c r="A20" s="13" t="inlineStr">
        <is>
          <t>Year</t>
        </is>
      </c>
      <c r="B20" s="14" t="n">
        <v>0</v>
      </c>
      <c r="C20" s="14" t="n">
        <v>1</v>
      </c>
      <c r="D20" s="14" t="n">
        <v>2</v>
      </c>
      <c r="E20" s="14" t="n">
        <v>3</v>
      </c>
      <c r="F20" s="14" t="n">
        <v>4</v>
      </c>
      <c r="G20" s="14" t="n">
        <v>5</v>
      </c>
      <c r="H20" s="14" t="n">
        <v>6</v>
      </c>
      <c r="I20" s="14" t="n">
        <v>7</v>
      </c>
      <c r="J20" s="14" t="n">
        <v>8</v>
      </c>
      <c r="K20" s="14" t="n">
        <v>9</v>
      </c>
      <c r="L20" s="14" t="n">
        <v>10</v>
      </c>
      <c r="M20" s="14" t="n">
        <v>11</v>
      </c>
      <c r="N20" s="14" t="n">
        <v>12</v>
      </c>
      <c r="O20" s="14" t="n">
        <v>13</v>
      </c>
      <c r="P20" s="14" t="n">
        <v>14</v>
      </c>
      <c r="Q20" s="14" t="n">
        <v>15</v>
      </c>
      <c r="R20" s="14" t="n">
        <v>16</v>
      </c>
      <c r="S20" s="14" t="n">
        <v>17</v>
      </c>
      <c r="T20" s="14" t="n">
        <v>18</v>
      </c>
      <c r="U20" s="14" t="n">
        <v>19</v>
      </c>
      <c r="V20" s="14" t="n">
        <v>20</v>
      </c>
      <c r="W20" s="14" t="n">
        <v>21</v>
      </c>
      <c r="X20" s="14" t="n">
        <v>22</v>
      </c>
      <c r="Y20" s="14" t="n">
        <v>23</v>
      </c>
      <c r="Z20" s="14" t="n">
        <v>24</v>
      </c>
      <c r="AA20" s="14" t="n">
        <v>25</v>
      </c>
      <c r="AB20" s="13" t="inlineStr">
        <is>
          <t>25yr Total</t>
        </is>
      </c>
      <c r="AC20" s="13" t="inlineStr">
        <is>
          <t>25yr NPV</t>
        </is>
      </c>
    </row>
    <row r="21">
      <c r="A21" s="4" t="inlineStr">
        <is>
          <t>Debt Balance ($)</t>
        </is>
      </c>
      <c r="B21" s="15">
        <f>Inputs!C6</f>
        <v/>
      </c>
      <c r="C21" s="10">
        <f>MAX(0,B21-C23)</f>
        <v/>
      </c>
      <c r="D21" s="10">
        <f>MAX(0,C21-D23)</f>
        <v/>
      </c>
      <c r="E21" s="10">
        <f>MAX(0,D21-E23)</f>
        <v/>
      </c>
      <c r="F21" s="10">
        <f>MAX(0,E21-F23)</f>
        <v/>
      </c>
      <c r="G21" s="10">
        <f>MAX(0,F21-G23)</f>
        <v/>
      </c>
      <c r="H21" s="10">
        <f>MAX(0,G21-H23)</f>
        <v/>
      </c>
      <c r="I21" s="10">
        <f>MAX(0,H21-I23)</f>
        <v/>
      </c>
      <c r="J21" s="10">
        <f>MAX(0,I21-J23)</f>
        <v/>
      </c>
      <c r="K21" s="10">
        <f>MAX(0,J21-K23)</f>
        <v/>
      </c>
      <c r="L21" s="10">
        <f>MAX(0,K21-L23)</f>
        <v/>
      </c>
      <c r="M21" s="10">
        <f>MAX(0,L21-M23)</f>
        <v/>
      </c>
      <c r="N21" s="10">
        <f>MAX(0,M21-N23)</f>
        <v/>
      </c>
      <c r="O21" s="10">
        <f>MAX(0,N21-O23)</f>
        <v/>
      </c>
      <c r="P21" s="10">
        <f>MAX(0,O21-P23)</f>
        <v/>
      </c>
      <c r="Q21" s="10">
        <f>MAX(0,P21-Q23)</f>
        <v/>
      </c>
      <c r="R21" s="10">
        <f>MAX(0,Q21-R23)</f>
        <v/>
      </c>
      <c r="S21" s="10">
        <f>MAX(0,R21-S23)</f>
        <v/>
      </c>
      <c r="T21" s="10">
        <f>MAX(0,S21-T23)</f>
        <v/>
      </c>
      <c r="U21" s="10">
        <f>MAX(0,T21-U23)</f>
        <v/>
      </c>
      <c r="V21" s="10">
        <f>MAX(0,U21-V23)</f>
        <v/>
      </c>
      <c r="W21" s="10">
        <f>MAX(0,V21-W23)</f>
        <v/>
      </c>
      <c r="X21" s="10">
        <f>MAX(0,W21-X23)</f>
        <v/>
      </c>
      <c r="Y21" s="10">
        <f>MAX(0,X21-Y23)</f>
        <v/>
      </c>
      <c r="Z21" s="10">
        <f>MAX(0,Y21-Z23)</f>
        <v/>
      </c>
      <c r="AA21" s="10">
        <f>MAX(0,Z21-AA23)</f>
        <v/>
      </c>
    </row>
    <row r="22">
      <c r="A22" s="4" t="inlineStr">
        <is>
          <t>Interest Payment ($)</t>
        </is>
      </c>
      <c r="B22" s="10" t="n">
        <v>0</v>
      </c>
      <c r="C22" s="10">
        <f>IF(B21&lt;=0,0,B21*Inputs!$C$11)</f>
        <v/>
      </c>
      <c r="D22" s="10">
        <f>IF(C21&lt;=0,0,C21*Inputs!$C$11)</f>
        <v/>
      </c>
      <c r="E22" s="10">
        <f>IF(D21&lt;=0,0,D21*Inputs!$C$11)</f>
        <v/>
      </c>
      <c r="F22" s="10">
        <f>IF(E21&lt;=0,0,E21*Inputs!$C$11)</f>
        <v/>
      </c>
      <c r="G22" s="10">
        <f>IF(F21&lt;=0,0,F21*Inputs!$C$11)</f>
        <v/>
      </c>
      <c r="H22" s="10">
        <f>IF(G21&lt;=0,0,G21*Inputs!$C$11)</f>
        <v/>
      </c>
      <c r="I22" s="10">
        <f>IF(H21&lt;=0,0,H21*Inputs!$C$11)</f>
        <v/>
      </c>
      <c r="J22" s="10">
        <f>IF(I21&lt;=0,0,I21*Inputs!$C$11)</f>
        <v/>
      </c>
      <c r="K22" s="10">
        <f>IF(J21&lt;=0,0,J21*Inputs!$C$11)</f>
        <v/>
      </c>
      <c r="L22" s="10">
        <f>IF(K21&lt;=0,0,K21*Inputs!$C$11)</f>
        <v/>
      </c>
      <c r="M22" s="10">
        <f>IF(L21&lt;=0,0,L21*Inputs!$C$11)</f>
        <v/>
      </c>
      <c r="N22" s="10">
        <f>IF(M21&lt;=0,0,M21*Inputs!$C$11)</f>
        <v/>
      </c>
      <c r="O22" s="10">
        <f>IF(N21&lt;=0,0,N21*Inputs!$C$11)</f>
        <v/>
      </c>
      <c r="P22" s="10">
        <f>IF(O21&lt;=0,0,O21*Inputs!$C$11)</f>
        <v/>
      </c>
      <c r="Q22" s="10">
        <f>IF(P21&lt;=0,0,P21*Inputs!$C$11)</f>
        <v/>
      </c>
      <c r="R22" s="10">
        <f>IF(Q21&lt;=0,0,Q21*Inputs!$C$11)</f>
        <v/>
      </c>
      <c r="S22" s="10">
        <f>IF(R21&lt;=0,0,R21*Inputs!$C$11)</f>
        <v/>
      </c>
      <c r="T22" s="10">
        <f>IF(S21&lt;=0,0,S21*Inputs!$C$11)</f>
        <v/>
      </c>
      <c r="U22" s="10">
        <f>IF(T21&lt;=0,0,T21*Inputs!$C$11)</f>
        <v/>
      </c>
      <c r="V22" s="10">
        <f>IF(U21&lt;=0,0,U21*Inputs!$C$11)</f>
        <v/>
      </c>
      <c r="W22" s="10">
        <f>IF(V21&lt;=0,0,V21*Inputs!$C$11)</f>
        <v/>
      </c>
      <c r="X22" s="10">
        <f>IF(W21&lt;=0,0,W21*Inputs!$C$11)</f>
        <v/>
      </c>
      <c r="Y22" s="10">
        <f>IF(X21&lt;=0,0,X21*Inputs!$C$11)</f>
        <v/>
      </c>
      <c r="Z22" s="10">
        <f>IF(Y21&lt;=0,0,Y21*Inputs!$C$11)</f>
        <v/>
      </c>
      <c r="AA22" s="10">
        <f>IF(Z21&lt;=0,0,Z21*Inputs!$C$11)</f>
        <v/>
      </c>
    </row>
    <row r="23">
      <c r="A23" s="4" t="inlineStr">
        <is>
          <t>Principal Payment ($)</t>
        </is>
      </c>
      <c r="B23" s="10" t="n">
        <v>0</v>
      </c>
      <c r="C23" s="10">
        <f>IF(B21&lt;=0,0,C24-C22)</f>
        <v/>
      </c>
      <c r="D23" s="10">
        <f>IF(B21&lt;=0,0,D24-D22)</f>
        <v/>
      </c>
      <c r="E23" s="10">
        <f>IF(B21&lt;=0,0,E24-E22)</f>
        <v/>
      </c>
      <c r="F23" s="10">
        <f>IF(B21&lt;=0,0,F24-F22)</f>
        <v/>
      </c>
      <c r="G23" s="10">
        <f>IF(B21&lt;=0,0,G24-G22)</f>
        <v/>
      </c>
      <c r="H23" s="10">
        <f>IF(B21&lt;=0,0,H24-H22)</f>
        <v/>
      </c>
      <c r="I23" s="10">
        <f>IF(B21&lt;=0,0,I24-I22)</f>
        <v/>
      </c>
      <c r="J23" s="10">
        <f>IF(B21&lt;=0,0,J24-J22)</f>
        <v/>
      </c>
      <c r="K23" s="10">
        <f>IF(B21&lt;=0,0,K24-K22)</f>
        <v/>
      </c>
      <c r="L23" s="10">
        <f>IF(B21&lt;=0,0,L24-L22)</f>
        <v/>
      </c>
      <c r="M23" s="10">
        <f>IF(B21&lt;=0,0,M24-M22)</f>
        <v/>
      </c>
      <c r="N23" s="10">
        <f>IF(B21&lt;=0,0,N24-N22)</f>
        <v/>
      </c>
      <c r="O23" s="10">
        <f>IF(B21&lt;=0,0,O24-O22)</f>
        <v/>
      </c>
      <c r="P23" s="10">
        <f>IF(B21&lt;=0,0,P24-P22)</f>
        <v/>
      </c>
      <c r="Q23" s="10">
        <f>IF(B21&lt;=0,0,Q24-Q22)</f>
        <v/>
      </c>
      <c r="R23" s="10">
        <f>IF(B21&lt;=0,0,R24-R22)</f>
        <v/>
      </c>
      <c r="S23" s="10">
        <f>IF(B21&lt;=0,0,S24-S22)</f>
        <v/>
      </c>
      <c r="T23" s="10">
        <f>IF(B21&lt;=0,0,T24-T22)</f>
        <v/>
      </c>
      <c r="U23" s="10">
        <f>IF(B21&lt;=0,0,U24-U22)</f>
        <v/>
      </c>
      <c r="V23" s="10">
        <f>IF(B21&lt;=0,0,V24-V22)</f>
        <v/>
      </c>
      <c r="W23" s="10">
        <f>IF(B21&lt;=0,0,W24-W22)</f>
        <v/>
      </c>
      <c r="X23" s="10">
        <f>IF(B21&lt;=0,0,X24-X22)</f>
        <v/>
      </c>
      <c r="Y23" s="10">
        <f>IF(B21&lt;=0,0,Y24-Y22)</f>
        <v/>
      </c>
      <c r="Z23" s="10">
        <f>IF(B21&lt;=0,0,Z24-Z22)</f>
        <v/>
      </c>
      <c r="AA23" s="10">
        <f>IF(B21&lt;=0,0,AA24-AA22)</f>
        <v/>
      </c>
    </row>
    <row r="24">
      <c r="A24" s="16" t="inlineStr">
        <is>
          <t>Total Payment — P&amp;I ($)</t>
        </is>
      </c>
      <c r="B24" s="10" t="n">
        <v>0</v>
      </c>
      <c r="C24" s="10">
        <f>IF(B21&lt;=0,0,ABS(PMT(Inputs!$C$11,Inputs!$C$13,B21,0)))</f>
        <v/>
      </c>
      <c r="D24" s="10">
        <f>IF(C21&lt;=0,0,ABS(PMT(Inputs!$C$11,Inputs!$C$13,B21,0)))</f>
        <v/>
      </c>
      <c r="E24" s="10">
        <f>IF(D21&lt;=0,0,ABS(PMT(Inputs!$C$11,Inputs!$C$13,B21,0)))</f>
        <v/>
      </c>
      <c r="F24" s="10">
        <f>IF(E21&lt;=0,0,ABS(PMT(Inputs!$C$11,Inputs!$C$13,B21,0)))</f>
        <v/>
      </c>
      <c r="G24" s="10">
        <f>IF(F21&lt;=0,0,ABS(PMT(Inputs!$C$11,Inputs!$C$13,B21,0)))</f>
        <v/>
      </c>
      <c r="H24" s="10">
        <f>IF(G21&lt;=0,0,ABS(PMT(Inputs!$C$11,Inputs!$C$13,B21,0)))</f>
        <v/>
      </c>
      <c r="I24" s="10">
        <f>IF(H21&lt;=0,0,ABS(PMT(Inputs!$C$11,Inputs!$C$13,B21,0)))</f>
        <v/>
      </c>
      <c r="J24" s="10">
        <f>IF(I21&lt;=0,0,ABS(PMT(Inputs!$C$11,Inputs!$C$13,B21,0)))</f>
        <v/>
      </c>
      <c r="K24" s="10">
        <f>IF(J21&lt;=0,0,ABS(PMT(Inputs!$C$11,Inputs!$C$13,B21,0)))</f>
        <v/>
      </c>
      <c r="L24" s="10">
        <f>IF(K21&lt;=0,0,ABS(PMT(Inputs!$C$11,Inputs!$C$13,B21,0)))</f>
        <v/>
      </c>
      <c r="M24" s="10">
        <f>IF(L21&lt;=0,0,ABS(PMT(Inputs!$C$11,Inputs!$C$13,B21,0)))</f>
        <v/>
      </c>
      <c r="N24" s="10">
        <f>IF(M21&lt;=0,0,ABS(PMT(Inputs!$C$11,Inputs!$C$13,B21,0)))</f>
        <v/>
      </c>
      <c r="O24" s="10">
        <f>IF(N21&lt;=0,0,ABS(PMT(Inputs!$C$11,Inputs!$C$13,B21,0)))</f>
        <v/>
      </c>
      <c r="P24" s="10">
        <f>IF(O21&lt;=0,0,ABS(PMT(Inputs!$C$11,Inputs!$C$13,B21,0)))</f>
        <v/>
      </c>
      <c r="Q24" s="10">
        <f>IF(P21&lt;=0,0,ABS(PMT(Inputs!$C$11,Inputs!$C$13,B21,0)))</f>
        <v/>
      </c>
      <c r="R24" s="10">
        <f>IF(Q21&lt;=0,0,ABS(PMT(Inputs!$C$11,Inputs!$C$13,B21,0)))</f>
        <v/>
      </c>
      <c r="S24" s="10">
        <f>IF(R21&lt;=0,0,ABS(PMT(Inputs!$C$11,Inputs!$C$13,B21,0)))</f>
        <v/>
      </c>
      <c r="T24" s="10">
        <f>IF(S21&lt;=0,0,ABS(PMT(Inputs!$C$11,Inputs!$C$13,B21,0)))</f>
        <v/>
      </c>
      <c r="U24" s="10">
        <f>IF(T21&lt;=0,0,ABS(PMT(Inputs!$C$11,Inputs!$C$13,B21,0)))</f>
        <v/>
      </c>
      <c r="V24" s="10">
        <f>IF(U21&lt;=0,0,ABS(PMT(Inputs!$C$11,Inputs!$C$13,B21,0)))</f>
        <v/>
      </c>
      <c r="W24" s="10">
        <f>IF(V21&lt;=0,0,ABS(PMT(Inputs!$C$11,Inputs!$C$13,B21,0)))</f>
        <v/>
      </c>
      <c r="X24" s="10">
        <f>IF(W21&lt;=0,0,ABS(PMT(Inputs!$C$11,Inputs!$C$13,B21,0)))</f>
        <v/>
      </c>
      <c r="Y24" s="10">
        <f>IF(X21&lt;=0,0,ABS(PMT(Inputs!$C$11,Inputs!$C$13,B21,0)))</f>
        <v/>
      </c>
      <c r="Z24" s="10">
        <f>IF(Y21&lt;=0,0,ABS(PMT(Inputs!$C$11,Inputs!$C$13,B21,0)))</f>
        <v/>
      </c>
      <c r="AA24" s="10">
        <f>IF(Z21&lt;=0,0,ABS(PMT(Inputs!$C$11,Inputs!$C$13,B21,0)))</f>
        <v/>
      </c>
      <c r="AB24" s="10">
        <f>SUM(C24:AA24)</f>
        <v/>
      </c>
      <c r="AC24" s="10">
        <f>NPV(Inputs!$C$12,C24:AA24)</f>
        <v/>
      </c>
    </row>
    <row r="26">
      <c r="A26" s="4" t="inlineStr">
        <is>
          <t>Elec. Bill — No System ($)</t>
        </is>
      </c>
      <c r="B26" s="10" t="n">
        <v>0</v>
      </c>
      <c r="C26" s="15">
        <f>Inputs!C28</f>
        <v/>
      </c>
      <c r="D26" s="10">
        <f>C26*(1+Inputs!$C$14)</f>
        <v/>
      </c>
      <c r="E26" s="10">
        <f>D26*(1+Inputs!$C$14)</f>
        <v/>
      </c>
      <c r="F26" s="10">
        <f>E26*(1+Inputs!$C$14)</f>
        <v/>
      </c>
      <c r="G26" s="10">
        <f>F26*(1+Inputs!$C$14)</f>
        <v/>
      </c>
      <c r="H26" s="10">
        <f>G26*(1+Inputs!$C$14)</f>
        <v/>
      </c>
      <c r="I26" s="10">
        <f>H26*(1+Inputs!$C$14)</f>
        <v/>
      </c>
      <c r="J26" s="10">
        <f>I26*(1+Inputs!$C$14)</f>
        <v/>
      </c>
      <c r="K26" s="10">
        <f>J26*(1+Inputs!$C$14)</f>
        <v/>
      </c>
      <c r="L26" s="10">
        <f>K26*(1+Inputs!$C$14)</f>
        <v/>
      </c>
      <c r="M26" s="10">
        <f>L26*(1+Inputs!$C$14)</f>
        <v/>
      </c>
      <c r="N26" s="10">
        <f>M26*(1+Inputs!$C$14)</f>
        <v/>
      </c>
      <c r="O26" s="10">
        <f>N26*(1+Inputs!$C$14)</f>
        <v/>
      </c>
      <c r="P26" s="10">
        <f>O26*(1+Inputs!$C$14)</f>
        <v/>
      </c>
      <c r="Q26" s="10">
        <f>P26*(1+Inputs!$C$14)</f>
        <v/>
      </c>
      <c r="R26" s="10">
        <f>Q26*(1+Inputs!$C$14)</f>
        <v/>
      </c>
      <c r="S26" s="10">
        <f>R26*(1+Inputs!$C$14)</f>
        <v/>
      </c>
      <c r="T26" s="10">
        <f>S26*(1+Inputs!$C$14)</f>
        <v/>
      </c>
      <c r="U26" s="10">
        <f>T26*(1+Inputs!$C$14)</f>
        <v/>
      </c>
      <c r="V26" s="10">
        <f>U26*(1+Inputs!$C$14)</f>
        <v/>
      </c>
      <c r="W26" s="10">
        <f>V26*(1+Inputs!$C$14)</f>
        <v/>
      </c>
      <c r="X26" s="10">
        <f>W26*(1+Inputs!$C$14)</f>
        <v/>
      </c>
      <c r="Y26" s="10">
        <f>X26*(1+Inputs!$C$14)</f>
        <v/>
      </c>
      <c r="Z26" s="10">
        <f>Y26*(1+Inputs!$C$14)</f>
        <v/>
      </c>
      <c r="AA26" s="10">
        <f>Z26*(1+Inputs!$C$14)</f>
        <v/>
      </c>
    </row>
    <row r="27">
      <c r="A27" s="4" t="inlineStr">
        <is>
          <t>Elec. Bill — With System ($)</t>
        </is>
      </c>
      <c r="B27" s="10" t="n">
        <v>0</v>
      </c>
      <c r="C27" s="15">
        <f>Inputs!D28</f>
        <v/>
      </c>
      <c r="D27" s="10">
        <f>C27*(1+Inputs!$C$14)</f>
        <v/>
      </c>
      <c r="E27" s="10">
        <f>D27*(1+Inputs!$C$14)</f>
        <v/>
      </c>
      <c r="F27" s="10">
        <f>E27*(1+Inputs!$C$14)</f>
        <v/>
      </c>
      <c r="G27" s="10">
        <f>F27*(1+Inputs!$C$14)</f>
        <v/>
      </c>
      <c r="H27" s="10">
        <f>G27*(1+Inputs!$C$14)</f>
        <v/>
      </c>
      <c r="I27" s="10">
        <f>H27*(1+Inputs!$C$14)</f>
        <v/>
      </c>
      <c r="J27" s="10">
        <f>I27*(1+Inputs!$C$14)</f>
        <v/>
      </c>
      <c r="K27" s="10">
        <f>J27*(1+Inputs!$C$14)</f>
        <v/>
      </c>
      <c r="L27" s="10">
        <f>K27*(1+Inputs!$C$14)</f>
        <v/>
      </c>
      <c r="M27" s="10">
        <f>L27*(1+Inputs!$C$14)</f>
        <v/>
      </c>
      <c r="N27" s="10">
        <f>M27*(1+Inputs!$C$14)</f>
        <v/>
      </c>
      <c r="O27" s="10">
        <f>N27*(1+Inputs!$C$14)</f>
        <v/>
      </c>
      <c r="P27" s="10">
        <f>O27*(1+Inputs!$C$14)</f>
        <v/>
      </c>
      <c r="Q27" s="10">
        <f>P27*(1+Inputs!$C$14)</f>
        <v/>
      </c>
      <c r="R27" s="10">
        <f>Q27*(1+Inputs!$C$14)</f>
        <v/>
      </c>
      <c r="S27" s="10">
        <f>R27*(1+Inputs!$C$14)</f>
        <v/>
      </c>
      <c r="T27" s="10">
        <f>S27*(1+Inputs!$C$14)</f>
        <v/>
      </c>
      <c r="U27" s="10">
        <f>T27*(1+Inputs!$C$14)</f>
        <v/>
      </c>
      <c r="V27" s="10">
        <f>U27*(1+Inputs!$C$14)</f>
        <v/>
      </c>
      <c r="W27" s="10">
        <f>V27*(1+Inputs!$C$14)</f>
        <v/>
      </c>
      <c r="X27" s="10">
        <f>W27*(1+Inputs!$C$14)</f>
        <v/>
      </c>
      <c r="Y27" s="10">
        <f>X27*(1+Inputs!$C$14)</f>
        <v/>
      </c>
      <c r="Z27" s="10">
        <f>Y27*(1+Inputs!$C$14)</f>
        <v/>
      </c>
      <c r="AA27" s="10">
        <f>Z27*(1+Inputs!$C$14)</f>
        <v/>
      </c>
    </row>
    <row r="28">
      <c r="A28" s="4" t="inlineStr">
        <is>
          <t>Bill Savings ($)</t>
        </is>
      </c>
      <c r="B28" s="10" t="n">
        <v>0</v>
      </c>
      <c r="C28" s="10">
        <f>C26-C27</f>
        <v/>
      </c>
      <c r="D28" s="10">
        <f>D26-D27</f>
        <v/>
      </c>
      <c r="E28" s="10">
        <f>E26-E27</f>
        <v/>
      </c>
      <c r="F28" s="10">
        <f>F26-F27</f>
        <v/>
      </c>
      <c r="G28" s="10">
        <f>G26-G27</f>
        <v/>
      </c>
      <c r="H28" s="10">
        <f>H26-H27</f>
        <v/>
      </c>
      <c r="I28" s="10">
        <f>I26-I27</f>
        <v/>
      </c>
      <c r="J28" s="10">
        <f>J26-J27</f>
        <v/>
      </c>
      <c r="K28" s="10">
        <f>K26-K27</f>
        <v/>
      </c>
      <c r="L28" s="10">
        <f>L26-L27</f>
        <v/>
      </c>
      <c r="M28" s="10">
        <f>M26-M27</f>
        <v/>
      </c>
      <c r="N28" s="10">
        <f>N26-N27</f>
        <v/>
      </c>
      <c r="O28" s="10">
        <f>O26-O27</f>
        <v/>
      </c>
      <c r="P28" s="10">
        <f>P26-P27</f>
        <v/>
      </c>
      <c r="Q28" s="10">
        <f>Q26-Q27</f>
        <v/>
      </c>
      <c r="R28" s="10">
        <f>R26-R27</f>
        <v/>
      </c>
      <c r="S28" s="10">
        <f>S26-S27</f>
        <v/>
      </c>
      <c r="T28" s="10">
        <f>T26-T27</f>
        <v/>
      </c>
      <c r="U28" s="10">
        <f>U26-U27</f>
        <v/>
      </c>
      <c r="V28" s="10">
        <f>V26-V27</f>
        <v/>
      </c>
      <c r="W28" s="10">
        <f>W26-W27</f>
        <v/>
      </c>
      <c r="X28" s="10">
        <f>X26-X27</f>
        <v/>
      </c>
      <c r="Y28" s="10">
        <f>Y26-Y27</f>
        <v/>
      </c>
      <c r="Z28" s="10">
        <f>Z26-Z27</f>
        <v/>
      </c>
      <c r="AA28" s="10">
        <f>AA26-AA27</f>
        <v/>
      </c>
      <c r="AB28" s="10">
        <f>SUM(C28:AA28)</f>
        <v/>
      </c>
      <c r="AC28" s="10">
        <f>NPV(Inputs!$C$12,C28:AA28)</f>
        <v/>
      </c>
    </row>
    <row r="29">
      <c r="A29" s="4" t="inlineStr">
        <is>
          <t>Incentive Savings — Annual ($)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>
        <f>SUM(C29:AA29)</f>
        <v/>
      </c>
      <c r="AC29" s="10">
        <f>NPV(Inputs!$C$12,C29:AA29)</f>
        <v/>
      </c>
    </row>
    <row r="30">
      <c r="A30" s="16" t="inlineStr">
        <is>
          <t>Total Savings ($)</t>
        </is>
      </c>
      <c r="B30" s="10">
        <f>B28+B29</f>
        <v/>
      </c>
      <c r="C30" s="10">
        <f>C28+C29</f>
        <v/>
      </c>
      <c r="D30" s="10">
        <f>D28+D29</f>
        <v/>
      </c>
      <c r="E30" s="10">
        <f>E28+E29</f>
        <v/>
      </c>
      <c r="F30" s="10">
        <f>F28+F29</f>
        <v/>
      </c>
      <c r="G30" s="10">
        <f>G28+G29</f>
        <v/>
      </c>
      <c r="H30" s="10">
        <f>H28+H29</f>
        <v/>
      </c>
      <c r="I30" s="10">
        <f>I28+I29</f>
        <v/>
      </c>
      <c r="J30" s="10">
        <f>J28+J29</f>
        <v/>
      </c>
      <c r="K30" s="10">
        <f>K28+K29</f>
        <v/>
      </c>
      <c r="L30" s="10">
        <f>L28+L29</f>
        <v/>
      </c>
      <c r="M30" s="10">
        <f>M28+M29</f>
        <v/>
      </c>
      <c r="N30" s="10">
        <f>N28+N29</f>
        <v/>
      </c>
      <c r="O30" s="10">
        <f>O28+O29</f>
        <v/>
      </c>
      <c r="P30" s="10">
        <f>P28+P29</f>
        <v/>
      </c>
      <c r="Q30" s="10">
        <f>Q28+Q29</f>
        <v/>
      </c>
      <c r="R30" s="10">
        <f>R28+R29</f>
        <v/>
      </c>
      <c r="S30" s="10">
        <f>S28+S29</f>
        <v/>
      </c>
      <c r="T30" s="10">
        <f>T28+T29</f>
        <v/>
      </c>
      <c r="U30" s="10">
        <f>U28+U29</f>
        <v/>
      </c>
      <c r="V30" s="10">
        <f>V28+V29</f>
        <v/>
      </c>
      <c r="W30" s="10">
        <f>W28+W29</f>
        <v/>
      </c>
      <c r="X30" s="10">
        <f>X28+X29</f>
        <v/>
      </c>
      <c r="Y30" s="10">
        <f>Y28+Y29</f>
        <v/>
      </c>
      <c r="Z30" s="10">
        <f>Z28+Z29</f>
        <v/>
      </c>
      <c r="AA30" s="10">
        <f>AA28+AA29</f>
        <v/>
      </c>
      <c r="AB30" s="10">
        <f>SUM(C30:AA30)</f>
        <v/>
      </c>
      <c r="AC30" s="10">
        <f>NPV(Inputs!$C$12,C30:AA30)</f>
        <v/>
      </c>
    </row>
    <row r="31">
      <c r="A31" s="17" t="inlineStr">
        <is>
          <t>Net Savings ($)</t>
        </is>
      </c>
      <c r="B31" s="18">
        <f>B30-B24</f>
        <v/>
      </c>
      <c r="C31" s="18">
        <f>C30-C24</f>
        <v/>
      </c>
      <c r="D31" s="18">
        <f>D30-D24</f>
        <v/>
      </c>
      <c r="E31" s="18">
        <f>E30-E24</f>
        <v/>
      </c>
      <c r="F31" s="18">
        <f>F30-F24</f>
        <v/>
      </c>
      <c r="G31" s="18">
        <f>G30-G24</f>
        <v/>
      </c>
      <c r="H31" s="18">
        <f>H30-H24</f>
        <v/>
      </c>
      <c r="I31" s="18">
        <f>I30-I24</f>
        <v/>
      </c>
      <c r="J31" s="18">
        <f>J30-J24</f>
        <v/>
      </c>
      <c r="K31" s="18">
        <f>K30-K24</f>
        <v/>
      </c>
      <c r="L31" s="18">
        <f>L30-L24</f>
        <v/>
      </c>
      <c r="M31" s="18">
        <f>M30-M24</f>
        <v/>
      </c>
      <c r="N31" s="18">
        <f>N30-N24</f>
        <v/>
      </c>
      <c r="O31" s="18">
        <f>O30-O24</f>
        <v/>
      </c>
      <c r="P31" s="18">
        <f>P30-P24</f>
        <v/>
      </c>
      <c r="Q31" s="18">
        <f>Q30-Q24</f>
        <v/>
      </c>
      <c r="R31" s="18">
        <f>R30-R24</f>
        <v/>
      </c>
      <c r="S31" s="18">
        <f>S30-S24</f>
        <v/>
      </c>
      <c r="T31" s="18">
        <f>T30-T24</f>
        <v/>
      </c>
      <c r="U31" s="18">
        <f>U30-U24</f>
        <v/>
      </c>
      <c r="V31" s="18">
        <f>V30-V24</f>
        <v/>
      </c>
      <c r="W31" s="18">
        <f>W30-W24</f>
        <v/>
      </c>
      <c r="X31" s="18">
        <f>X30-X24</f>
        <v/>
      </c>
      <c r="Y31" s="18">
        <f>Y30-Y24</f>
        <v/>
      </c>
      <c r="Z31" s="18">
        <f>Z30-Z24</f>
        <v/>
      </c>
      <c r="AA31" s="18">
        <f>AA30-AA24</f>
        <v/>
      </c>
      <c r="AB31" s="18">
        <f>SUM(C31:AA31)</f>
        <v/>
      </c>
      <c r="AC31" s="18">
        <f>NPV(Inputs!$C$12,C31:AA31)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5" customWidth="1" min="4" max="4"/>
    <col width="16" customWidth="1" min="5" max="5"/>
    <col width="18" customWidth="1" min="6" max="6"/>
  </cols>
  <sheetData>
    <row r="1">
      <c r="A1" s="1" t="inlineStr">
        <is>
          <t>NC Solar Financing — Summary Dashboard</t>
        </is>
      </c>
    </row>
    <row r="2">
      <c r="A2" s="2" t="inlineStr">
        <is>
          <t>All values linked to cash flow sheets (green = cross-sheet formula)</t>
        </is>
      </c>
    </row>
    <row r="4">
      <c r="A4" s="13" t="inlineStr">
        <is>
          <t>System</t>
        </is>
      </c>
      <c r="B4" s="13" t="inlineStr">
        <is>
          <t>Scenario</t>
        </is>
      </c>
      <c r="C4" s="13" t="inlineStr">
        <is>
          <t>Rate</t>
        </is>
      </c>
      <c r="D4" s="13" t="inlineStr">
        <is>
          <t>System Cost ($)</t>
        </is>
      </c>
      <c r="E4" s="13" t="inlineStr">
        <is>
          <t>25yr NPV ($)</t>
        </is>
      </c>
      <c r="F4" s="13" t="inlineStr">
        <is>
          <t>Y1 Net Monthly ($)</t>
        </is>
      </c>
    </row>
    <row r="5">
      <c r="A5" s="4" t="inlineStr">
        <is>
          <t>PV+Storage</t>
        </is>
      </c>
      <c r="B5" s="4" t="inlineStr">
        <is>
          <t>FedITC + State</t>
        </is>
      </c>
      <c r="C5" s="4" t="inlineStr">
        <is>
          <t>RSC</t>
        </is>
      </c>
      <c r="D5" s="15">
        <f>Inputs!C5</f>
        <v/>
      </c>
      <c r="E5" s="15">
        <f>'PV+Storage RSC'!AC16</f>
        <v/>
      </c>
      <c r="F5" s="15">
        <f>'PV+Storage RSC'!C16/12</f>
        <v/>
      </c>
    </row>
    <row r="6">
      <c r="A6" s="4" t="inlineStr">
        <is>
          <t>PV+Storage</t>
        </is>
      </c>
      <c r="B6" s="4" t="inlineStr">
        <is>
          <t>State Only</t>
        </is>
      </c>
      <c r="C6" s="4" t="inlineStr">
        <is>
          <t>RSC</t>
        </is>
      </c>
      <c r="D6" s="15">
        <f>Inputs!C5</f>
        <v/>
      </c>
      <c r="E6" s="15">
        <f>'PV+Storage RSC'!AC31</f>
        <v/>
      </c>
      <c r="F6" s="15">
        <f>'PV+Storage RSC'!C31/12</f>
        <v/>
      </c>
    </row>
    <row r="7">
      <c r="A7" s="4" t="inlineStr">
        <is>
          <t>PV+Storage</t>
        </is>
      </c>
      <c r="B7" s="4" t="inlineStr">
        <is>
          <t>No Incentives</t>
        </is>
      </c>
      <c r="C7" s="4" t="inlineStr">
        <is>
          <t>RSC</t>
        </is>
      </c>
      <c r="D7" s="15">
        <f>Inputs!C5</f>
        <v/>
      </c>
      <c r="E7" s="15">
        <f>'PV+Storage RSC'!AC46</f>
        <v/>
      </c>
      <c r="F7" s="15">
        <f>'PV+Storage RSC'!C46/12</f>
        <v/>
      </c>
    </row>
    <row r="8">
      <c r="A8" s="4" t="inlineStr">
        <is>
          <t>PV+Storage</t>
        </is>
      </c>
      <c r="B8" s="4" t="inlineStr">
        <is>
          <t>FedITC + State</t>
        </is>
      </c>
      <c r="C8" s="4" t="inlineStr">
        <is>
          <t>Bridge</t>
        </is>
      </c>
      <c r="D8" s="15">
        <f>Inputs!C5</f>
        <v/>
      </c>
      <c r="E8" s="15">
        <f>'PV+Storage Bridge'!AC16</f>
        <v/>
      </c>
      <c r="F8" s="15">
        <f>'PV+Storage Bridge'!C16/12</f>
        <v/>
      </c>
    </row>
    <row r="9">
      <c r="A9" s="4" t="inlineStr">
        <is>
          <t>PV+Storage</t>
        </is>
      </c>
      <c r="B9" s="4" t="inlineStr">
        <is>
          <t>State Only</t>
        </is>
      </c>
      <c r="C9" s="4" t="inlineStr">
        <is>
          <t>Bridge</t>
        </is>
      </c>
      <c r="D9" s="15">
        <f>Inputs!C5</f>
        <v/>
      </c>
      <c r="E9" s="15">
        <f>'PV+Storage Bridge'!AC31</f>
        <v/>
      </c>
      <c r="F9" s="15">
        <f>'PV+Storage Bridge'!C31/12</f>
        <v/>
      </c>
    </row>
    <row r="10">
      <c r="A10" s="4" t="inlineStr">
        <is>
          <t>PV+Storage</t>
        </is>
      </c>
      <c r="B10" s="4" t="inlineStr">
        <is>
          <t>No Incentives</t>
        </is>
      </c>
      <c r="C10" s="4" t="inlineStr">
        <is>
          <t>Bridge</t>
        </is>
      </c>
      <c r="D10" s="15">
        <f>Inputs!C5</f>
        <v/>
      </c>
      <c r="E10" s="15">
        <f>'PV+Storage Bridge'!AC46</f>
        <v/>
      </c>
      <c r="F10" s="15">
        <f>'PV+Storage Bridge'!C46/12</f>
        <v/>
      </c>
    </row>
    <row r="11">
      <c r="A11" s="4" t="inlineStr">
        <is>
          <t>Solar Only</t>
        </is>
      </c>
      <c r="B11" s="4" t="inlineStr">
        <is>
          <t>With FedITC</t>
        </is>
      </c>
      <c r="C11" s="4" t="inlineStr">
        <is>
          <t>RSC</t>
        </is>
      </c>
      <c r="D11" s="15">
        <f>Inputs!C6</f>
        <v/>
      </c>
      <c r="E11" s="15">
        <f>'Solar Only RSC'!AC16</f>
        <v/>
      </c>
      <c r="F11" s="15">
        <f>'Solar Only RSC'!C16/12</f>
        <v/>
      </c>
    </row>
    <row r="12">
      <c r="A12" s="4" t="inlineStr">
        <is>
          <t>Solar Only</t>
        </is>
      </c>
      <c r="B12" s="4" t="inlineStr">
        <is>
          <t>No Incentives</t>
        </is>
      </c>
      <c r="C12" s="4" t="inlineStr">
        <is>
          <t>RSC</t>
        </is>
      </c>
      <c r="D12" s="15">
        <f>Inputs!C6</f>
        <v/>
      </c>
      <c r="E12" s="15">
        <f>'Solar Only RSC'!AC31</f>
        <v/>
      </c>
      <c r="F12" s="15">
        <f>'Solar Only RSC'!C31/12</f>
        <v/>
      </c>
    </row>
    <row r="13">
      <c r="A13" s="4" t="inlineStr">
        <is>
          <t>Solar Only</t>
        </is>
      </c>
      <c r="B13" s="4" t="inlineStr">
        <is>
          <t>With FedITC</t>
        </is>
      </c>
      <c r="C13" s="4" t="inlineStr">
        <is>
          <t>Bridge</t>
        </is>
      </c>
      <c r="D13" s="15">
        <f>Inputs!C6</f>
        <v/>
      </c>
      <c r="E13" s="15">
        <f>'Solar Only Bridge'!AC16</f>
        <v/>
      </c>
      <c r="F13" s="15">
        <f>'Solar Only Bridge'!C16/12</f>
        <v/>
      </c>
    </row>
    <row r="14">
      <c r="A14" s="4" t="inlineStr">
        <is>
          <t>Solar Only</t>
        </is>
      </c>
      <c r="B14" s="4" t="inlineStr">
        <is>
          <t>No Incentives</t>
        </is>
      </c>
      <c r="C14" s="4" t="inlineStr">
        <is>
          <t>Bridge</t>
        </is>
      </c>
      <c r="D14" s="15">
        <f>Inputs!C6</f>
        <v/>
      </c>
      <c r="E14" s="15">
        <f>'Solar Only Bridge'!AC31</f>
        <v/>
      </c>
      <c r="F14" s="15">
        <f>'Solar Only Bridge'!C31/12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2026-03-16T14:22:32Z</dcterms:created>
  <dcterms:modified xmlns:dcterms="http://purl.org/dc/terms/" xmlns:xsi="http://www.w3.org/2001/XMLSchema-instance" xsi:type="dcterms:W3CDTF">2026-03-16T14:22:32Z</dcterms:modified>
</cp:coreProperties>
</file>