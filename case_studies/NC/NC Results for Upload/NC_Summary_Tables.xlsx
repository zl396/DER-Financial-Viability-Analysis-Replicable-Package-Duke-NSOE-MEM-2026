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Table 1 - NMB" sheetId="2" state="visible" r:id="rId4"/>
    <sheet name="Table 2 - RS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<sst xmlns="http://schemas.openxmlformats.org/spreadsheetml/2006/main" count="57" uniqueCount="45">
  <si>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NC DER Financial Analysis — Summary Tables Guide</t>
  </si>
  <si>
    <t xml:space="preserve">SCOPE</t>
  </si>
  <si>
    <t xml:space="preserve">Two tables compare the four scenarios run for each rate track (NMB and RSC). All values tie to NC_financial_summary.json,</t>
  </si>
  <si>
    <t xml:space="preserve">which is the source of truth produced by the PySAM + DCF pipeline described in NC_Workflow_Replicable.md.</t>
  </si>
  <si>
    <t xml:space="preserve">POWERPAIR ELIGIBILITY (important)</t>
  </si>
  <si>
    <t xml:space="preserve">Duke Energy's PowerPair program requires a paired PV+Storage installation. The solar-rebate component ($2,077) is</t>
  </si>
  <si>
    <t xml:space="preserve">not independently available to solar-only customers. Scenario 1 in each table applies the rebate to a solar-only system</t>
  </si>
  <si>
    <t xml:space="preserve">as a sensitivity case only. It is flagged 'counterfactual' because no real household can enroll this configuration.</t>
  </si>
  <si>
    <t xml:space="preserve">The enrollable solar-only case is Scenario 2 (Solar Only — No Incentives).</t>
  </si>
  <si>
    <t xml:space="preserve">COLUMNS</t>
  </si>
  <si>
    <t xml:space="preserve">  Scenario — DER configuration and incentive level</t>
  </si>
  <si>
    <t xml:space="preserve">  Bill w/o — Annual electricity bill without DER system (track-specific baseline)</t>
  </si>
  <si>
    <t xml:space="preserve">  Bill Savings Y1 — First-year bill reduction from PySAM simulation</t>
  </si>
  <si>
    <t xml:space="preserve">  Incentives Y1 — Annual incentive payments (EnergyWise $277/yr, PV+S only)</t>
  </si>
  <si>
    <t xml:space="preserve">  PMT — Annual loan payment (7.24%, 25 years, 100% debt financing)</t>
  </si>
  <si>
    <t xml:space="preserve">  Monthly Net — (Bill Savings + Incentives − PMT) / 12; positive = cash-flow positive</t>
  </si>
  <si>
    <t xml:space="preserve">  25yr NPV — Cumulative net present value over 25 years at 6.4% discount rate</t>
  </si>
  <si>
    <t xml:space="preserve">BASELINES (do NOT cross-compare across tracks)</t>
  </si>
  <si>
    <t xml:space="preserve">  NMB Bill w/o = $2,036.92/yr (Schedule RS flat: 12.76¢/kWh)</t>
  </si>
  <si>
    <t xml:space="preserve">  RSC Bill w/o = $1,472.60/yr (TOU: on-peak 17.62¢ / off-peak 8.34¢ / discount 5.89¢)</t>
  </si>
  <si>
    <t xml:space="preserve">Each track's savings are measured against its own baseline. NMB vs RSC dollar savings are not directly comparable; use</t>
  </si>
  <si>
    <t xml:space="preserve">the NPV column for cross-track comparisons.</t>
  </si>
  <si>
    <t xml:space="preserve">KEY PARAMETERS</t>
  </si>
  <si>
    <t xml:space="preserve">  PV: 5.77 kW ($3,040/kW = $17,540.80) | Battery: 13.5 kWh / 5 kW ($1,214/kWh = $16,389.00)</t>
  </si>
  <si>
    <t xml:space="preserve">  Loan: 7.24%, 25 yr | Customer discount: 6.4% | Electricity cost escalation: 2.5%/yr</t>
  </si>
  <si>
    <t xml:space="preserve">  Federal ITC: 0% (Section 25D expired Dec 31, 2025) | NC State Solar Tax Credit: none</t>
  </si>
  <si>
    <t xml:space="preserve">  PowerPair Solar: $2,077 ($0.36/W); Battery: $5,400 ($400/kWh, cap $5,400) — paired PV+Storage only</t>
  </si>
  <si>
    <t xml:space="preserve">  EnergyWise Battery Control: $277/yr (PV+S only; $6.50/kW × 70.9% × 5 kW × 12 mo)</t>
  </si>
  <si>
    <t xml:space="preserve">  Load: ResStock NC aggregate, 14,647 kWh/yr | Weather: Raleigh NC 2023 NSRDB</t>
  </si>
  <si>
    <t xml:space="preserve">NMB rate track — 25-year financial summary. System: 5.77 kW PV ($17,541) + 13.5 kWh battery ($16,389). Source: NC_financial_summary.json.</t>
  </si>
  <si>
    <t xml:space="preserve">Scenario</t>
  </si>
  <si>
    <t xml:space="preserve">Bill w/o</t>
  </si>
  <si>
    <t xml:space="preserve">Bill Savings Y1</t>
  </si>
  <si>
    <t xml:space="preserve">Incentives Y1</t>
  </si>
  <si>
    <t xml:space="preserve">PMT</t>
  </si>
  <si>
    <t xml:space="preserve">Monthly Net</t>
  </si>
  <si>
    <t xml:space="preserve">25yr NPV</t>
  </si>
  <si>
    <t xml:space="preserve">Solar Only — Rebate Sensitivity (counterfactual)*</t>
  </si>
  <si>
    <t xml:space="preserve">Solar Only — No Incentives</t>
  </si>
  <si>
    <t xml:space="preserve">PV+Storage — All Incentives (PowerPair + EnergyWise)</t>
  </si>
  <si>
    <t xml:space="preserve">PV+Storage — No Incentives</t>
  </si>
  <si>
    <t xml:space="preserve">* Scenario 1 is counterfactual: PowerPair enrollment requires a paired PV+Battery; its solar-rebate component is not independently available. Retained to show the rebate's isolated NPV effect vs. the enrollable Scenario 2.</t>
  </si>
  <si>
    <t xml:space="preserve">Notes: Bill w/o = NMB baseline ($2,036.92/yr). PMT at 7.24%, 25 yr, 100% debt. Monthly Net = (Bill Savings + Incentives − PMT) / 12. NPV at 6.4% discount, 25 yr. EnergyWise $277/yr applies to PV+S only. All values from NC_financial_summary.json.</t>
  </si>
  <si>
    <t xml:space="preserve">RSC rate track — 25-year financial summary. System: 5.77 kW PV ($17,541) + 13.5 kWh battery ($16,389). Source: NC_financial_summary.json.</t>
  </si>
  <si>
    <t xml:space="preserve">Notes: Bill w/o = RSC baseline ($1,472.60/yr). PMT at 7.24%, 25 yr, 100% debt. Monthly Net = (Bill Savings + Incentives − PMT) / 12. NPV at 6.4% discount, 25 yr. EnergyWise $277/yr applies to PV+S only. All values from NC_financial_summary.json.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</si>
</sst>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3366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2" customFormat="false" ht="15" hidden="false" customHeight="false" outlineLevel="0" collapsed="false">
      <c r="A22" s="1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8" customFormat="false" ht="15" hidden="false" customHeight="false" outlineLevel="0" collapsed="false">
      <c r="A28" s="1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</row>
    <row r="3" customFormat="false" ht="31.5" hidden="false" customHeight="true" outlineLevel="0" collapsed="false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</row>
    <row r="4" customFormat="false" ht="15" hidden="false" customHeight="false" outlineLevel="0" collapsed="false">
      <c r="A4" s="5" t="s">
        <v>37</v>
      </c>
      <c r="B4" s="6" t="n">
        <v>2036.92</v>
      </c>
      <c r="C4" s="7" t="n">
        <v>742</v>
      </c>
      <c r="D4" s="7" t="n">
        <v>0</v>
      </c>
      <c r="E4" s="7" t="n">
        <v>1356</v>
      </c>
      <c r="F4" s="8" t="n">
        <f aca="false">(C4+D4-E4)/12</f>
        <v>-51.1666666666667</v>
      </c>
      <c r="G4" s="8" t="n">
        <v>-5148</v>
      </c>
    </row>
    <row r="5" customFormat="false" ht="15" hidden="false" customHeight="false" outlineLevel="0" collapsed="false">
      <c r="A5" s="5" t="s">
        <v>38</v>
      </c>
      <c r="B5" s="6" t="n">
        <v>2036.92</v>
      </c>
      <c r="C5" s="7" t="n">
        <v>742</v>
      </c>
      <c r="D5" s="7" t="n">
        <v>0</v>
      </c>
      <c r="E5" s="7" t="n">
        <v>1538</v>
      </c>
      <c r="F5" s="8" t="n">
        <f aca="false">(C5+D5-E5)/12</f>
        <v>-66.3333333333333</v>
      </c>
      <c r="G5" s="8" t="n">
        <v>-7390</v>
      </c>
    </row>
    <row r="6" customFormat="false" ht="15" hidden="false" customHeight="false" outlineLevel="0" collapsed="false">
      <c r="A6" s="5" t="s">
        <v>39</v>
      </c>
      <c r="B6" s="6" t="n">
        <v>2036.92</v>
      </c>
      <c r="C6" s="7" t="n">
        <v>781</v>
      </c>
      <c r="D6" s="7" t="n">
        <v>277</v>
      </c>
      <c r="E6" s="7" t="n">
        <v>2319</v>
      </c>
      <c r="F6" s="8" t="n">
        <f aca="false">(C6+D6-E6)/12</f>
        <v>-105.083333333333</v>
      </c>
      <c r="G6" s="8" t="n">
        <v>-12993</v>
      </c>
    </row>
    <row r="7" customFormat="false" ht="15" hidden="false" customHeight="false" outlineLevel="0" collapsed="false">
      <c r="A7" s="5" t="s">
        <v>40</v>
      </c>
      <c r="B7" s="6" t="n">
        <v>2036.92</v>
      </c>
      <c r="C7" s="7" t="n">
        <v>781</v>
      </c>
      <c r="D7" s="7" t="n">
        <v>0</v>
      </c>
      <c r="E7" s="7" t="n">
        <v>2975</v>
      </c>
      <c r="F7" s="8" t="n">
        <f aca="false">(C7+D7-E7)/12</f>
        <v>-182.833333333333</v>
      </c>
      <c r="G7" s="8" t="n">
        <v>-24474</v>
      </c>
    </row>
    <row r="9" customFormat="false" ht="30" hidden="false" customHeight="true" outlineLevel="0" collapsed="false">
      <c r="A9" s="9" t="s">
        <v>41</v>
      </c>
      <c r="B9" s="9"/>
      <c r="C9" s="9"/>
      <c r="D9" s="9"/>
      <c r="E9" s="9"/>
      <c r="F9" s="9"/>
      <c r="G9" s="9"/>
    </row>
    <row r="11" customFormat="false" ht="39.75" hidden="false" customHeight="true" outlineLevel="0" collapsed="false">
      <c r="A11" s="10" t="s">
        <v>42</v>
      </c>
      <c r="B11" s="10"/>
      <c r="C11" s="10"/>
      <c r="D11" s="10"/>
      <c r="E11" s="10"/>
      <c r="F11" s="10"/>
      <c r="G11" s="10"/>
    </row>
  </sheetData>
  <mergeCells count="3">
    <mergeCell ref="A1:G1"/>
    <mergeCell ref="A9:G9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3" t="s">
        <v>43</v>
      </c>
      <c r="B1" s="3"/>
      <c r="C1" s="3"/>
      <c r="D1" s="3"/>
      <c r="E1" s="3"/>
      <c r="F1" s="3"/>
      <c r="G1" s="3"/>
    </row>
    <row r="3" customFormat="false" ht="31.5" hidden="false" customHeight="true" outlineLevel="0" collapsed="false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</row>
    <row r="4" customFormat="false" ht="15" hidden="false" customHeight="false" outlineLevel="0" collapsed="false">
      <c r="A4" s="5" t="s">
        <v>37</v>
      </c>
      <c r="B4" s="6" t="n">
        <v>1472.6</v>
      </c>
      <c r="C4" s="7" t="n">
        <v>517</v>
      </c>
      <c r="D4" s="7" t="n">
        <v>0</v>
      </c>
      <c r="E4" s="7" t="n">
        <v>1356</v>
      </c>
      <c r="F4" s="8" t="n">
        <f aca="false">(C4+D4-E4)/12</f>
        <v>-69.9166666666667</v>
      </c>
      <c r="G4" s="8" t="n">
        <v>-8646</v>
      </c>
    </row>
    <row r="5" customFormat="false" ht="15" hidden="false" customHeight="false" outlineLevel="0" collapsed="false">
      <c r="A5" s="5" t="s">
        <v>38</v>
      </c>
      <c r="B5" s="6" t="n">
        <v>1472.6</v>
      </c>
      <c r="C5" s="7" t="n">
        <v>517</v>
      </c>
      <c r="D5" s="7" t="n">
        <v>0</v>
      </c>
      <c r="E5" s="7" t="n">
        <v>1538</v>
      </c>
      <c r="F5" s="8" t="n">
        <f aca="false">(C5+D5-E5)/12</f>
        <v>-85.0833333333333</v>
      </c>
      <c r="G5" s="8" t="n">
        <v>-10888</v>
      </c>
    </row>
    <row r="6" customFormat="false" ht="15" hidden="false" customHeight="false" outlineLevel="0" collapsed="false">
      <c r="A6" s="5" t="s">
        <v>39</v>
      </c>
      <c r="B6" s="6" t="n">
        <v>1472.6</v>
      </c>
      <c r="C6" s="7" t="n">
        <v>575</v>
      </c>
      <c r="D6" s="7" t="n">
        <v>277</v>
      </c>
      <c r="E6" s="7" t="n">
        <v>2319</v>
      </c>
      <c r="F6" s="8" t="n">
        <f aca="false">(C6+D6-E6)/12</f>
        <v>-122.25</v>
      </c>
      <c r="G6" s="8" t="n">
        <v>-16201</v>
      </c>
    </row>
    <row r="7" customFormat="false" ht="15" hidden="false" customHeight="false" outlineLevel="0" collapsed="false">
      <c r="A7" s="5" t="s">
        <v>40</v>
      </c>
      <c r="B7" s="6" t="n">
        <v>1472.6</v>
      </c>
      <c r="C7" s="7" t="n">
        <v>575</v>
      </c>
      <c r="D7" s="7" t="n">
        <v>0</v>
      </c>
      <c r="E7" s="7" t="n">
        <v>2975</v>
      </c>
      <c r="F7" s="8" t="n">
        <f aca="false">(C7+D7-E7)/12</f>
        <v>-200</v>
      </c>
      <c r="G7" s="8" t="n">
        <v>-27682</v>
      </c>
    </row>
    <row r="9" customFormat="false" ht="30" hidden="false" customHeight="true" outlineLevel="0" collapsed="false">
      <c r="A9" s="9" t="s">
        <v>41</v>
      </c>
      <c r="B9" s="9"/>
      <c r="C9" s="9"/>
      <c r="D9" s="9"/>
      <c r="E9" s="9"/>
      <c r="F9" s="9"/>
      <c r="G9" s="9"/>
    </row>
    <row r="11" customFormat="false" ht="39.75" hidden="false" customHeight="true" outlineLevel="0" collapsed="false">
      <c r="A11" s="10" t="s">
        <v>44</v>
      </c>
      <c r="B11" s="10"/>
      <c r="C11" s="10"/>
      <c r="D11" s="10"/>
      <c r="E11" s="10"/>
      <c r="F11" s="10"/>
      <c r="G11" s="10"/>
    </row>
  </sheetData>
  <mergeCells count="3">
    <mergeCell ref="A1:G1"/>
    <mergeCell ref="A9:G9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2026-04-17T20:19:55Z</dcterms:created>
  <dc:creator>Duke NSOE MEM 2026 Cohort</dc:creator>
  <dc:description/>
  <dc:language>en-US</dc:language>
  <cp:lastModifiedBy>Duke NSOE MEM 2026 Cohort</cp:lastModifiedBy>
  <dcterms:modified xsi:type="dcterms:W3CDTF">2026-04-17T20:19:55Z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