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sh Fl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NC Financial Analysis</author>
  </authors>
  <commentList>
    <comment ref="A5" authorId="0">
      <text>
        <r>
          <rPr>
            <sz val="10"/>
            <rFont val="Arial"/>
            <family val="2"/>
          </rPr>
          <t xml:space="preserve">PowerPair requires a paired PV+Battery installation; its $2,077 solar-rebate component is not independently available to a solar-only household. This block applies the rebate anyway as a sensitivity case to isolate its NPV effect. The enrollable solar-only case is scenario 2 (Solar Only — No Incentives).</t>
        </r>
      </text>
    </comment>
  </commentList>
</comments>
</file>

<file path=xl/sharedStrings.xml><?xml version="1.0" encoding="utf-8"?>
<sst xmlns="http://schemas.openxmlformats.org/spreadsheetml/2006/main" count="87" uniqueCount="48">
  <si>
    <t xml:space="preserve">NC RSC (Residential Solar Choice TOU) — Input Parameters</t>
  </si>
  <si>
    <t xml:space="preserve">SYSTEM</t>
  </si>
  <si>
    <t xml:space="preserve">PV Capacity</t>
  </si>
  <si>
    <t xml:space="preserve">Battery</t>
  </si>
  <si>
    <t xml:space="preserve">Solar Cost</t>
  </si>
  <si>
    <t xml:space="preserve">PV+S Cost</t>
  </si>
  <si>
    <t xml:space="preserve">Loan Rate</t>
  </si>
  <si>
    <t xml:space="preserve">Loan Term</t>
  </si>
  <si>
    <t xml:space="preserve">Discount Rate</t>
  </si>
  <si>
    <t xml:space="preserve">Escalation</t>
  </si>
  <si>
    <t xml:space="preserve">RSC TOU RATE (DEC Schedule RT)</t>
  </si>
  <si>
    <t xml:space="preserve">On-Peak</t>
  </si>
  <si>
    <t xml:space="preserve">Summer 6-9pm, Winter 6-9am weekdays</t>
  </si>
  <si>
    <t xml:space="preserve">Off-Peak</t>
  </si>
  <si>
    <t xml:space="preserve">Discount</t>
  </si>
  <si>
    <t xml:space="preserve">Export</t>
  </si>
  <si>
    <t xml:space="preserve">Avoided cost</t>
  </si>
  <si>
    <t xml:space="preserve">Fixed</t>
  </si>
  <si>
    <t xml:space="preserve">Bill w/o System (RSC)</t>
  </si>
  <si>
    <t xml:space="preserve">INCENTIVES</t>
  </si>
  <si>
    <t xml:space="preserve">PowerPair Solar</t>
  </si>
  <si>
    <t xml:space="preserve">PowerPair Battery</t>
  </si>
  <si>
    <t xml:space="preserve">EnergyWise</t>
  </si>
  <si>
    <t xml:space="preserve">Federal ITC</t>
  </si>
  <si>
    <t xml:space="preserve">State Tax Credit</t>
  </si>
  <si>
    <t xml:space="preserve">PYSAM RESULTS</t>
  </si>
  <si>
    <t xml:space="preserve">RSC Solar Savings Y1</t>
  </si>
  <si>
    <t xml:space="preserve">RSC PV+S Savings Y1</t>
  </si>
  <si>
    <t xml:space="preserve">NOTES</t>
  </si>
  <si>
    <t xml:space="preserve">PowerPair eligibility: paired PV+Storage only. Solar-rebate and battery-rebate components are not independently available.</t>
  </si>
  <si>
    <t xml:space="preserve">Source: Duke Energy PowerPair FAQ; NCUC Docket E-7 Sub 1276.</t>
  </si>
  <si>
    <t xml:space="preserve">Solar Only — Rebate Sensitivity (counterfactual)</t>
  </si>
  <si>
    <t xml:space="preserve">Year</t>
  </si>
  <si>
    <t xml:space="preserve">Debt Balance ($)</t>
  </si>
  <si>
    <t xml:space="preserve">Interest Payment ($)</t>
  </si>
  <si>
    <t xml:space="preserve">Principal Payment ($)</t>
  </si>
  <si>
    <t xml:space="preserve">Total P&amp;I Payment ($)</t>
  </si>
  <si>
    <t xml:space="preserve">Bill w/o System ($)</t>
  </si>
  <si>
    <t xml:space="preserve">Bill w/ System ($)</t>
  </si>
  <si>
    <t xml:space="preserve">Bill Savings ($)</t>
  </si>
  <si>
    <t xml:space="preserve">Incentive Annual ($)</t>
  </si>
  <si>
    <t xml:space="preserve">Total Savings ($)</t>
  </si>
  <si>
    <t xml:space="preserve">Net Savings ($)</t>
  </si>
  <si>
    <t xml:space="preserve">Cumulative NPV ($)</t>
  </si>
  <si>
    <t xml:space="preserve">Simple Payback (yr)</t>
  </si>
  <si>
    <t xml:space="preserve">Solar Only — No Incentives</t>
  </si>
  <si>
    <t xml:space="preserve">PV+Storage — All Incentives</t>
  </si>
  <si>
    <t xml:space="preserve">PV+Storage — No Incentives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</si>
</sst>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%"/>
    <numFmt numFmtId="167" formatCode="\$#,##0;&quot;($&quot;#,##0\);\-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44444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4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n">
        <v>5.77</v>
      </c>
    </row>
    <row r="5" customFormat="false" ht="15" hidden="false" customHeight="false" outlineLevel="0" collapsed="false">
      <c r="B5" s="3" t="s">
        <v>3</v>
      </c>
      <c r="C5" s="4" t="n">
        <v>13.5</v>
      </c>
    </row>
    <row r="6" customFormat="false" ht="15" hidden="false" customHeight="false" outlineLevel="0" collapsed="false">
      <c r="B6" s="3" t="s">
        <v>4</v>
      </c>
      <c r="C6" s="4" t="n">
        <v>17541</v>
      </c>
    </row>
    <row r="7" customFormat="false" ht="15" hidden="false" customHeight="false" outlineLevel="0" collapsed="false">
      <c r="B7" s="3" t="s">
        <v>5</v>
      </c>
      <c r="C7" s="4" t="n">
        <v>33930</v>
      </c>
    </row>
    <row r="8" customFormat="false" ht="15" hidden="false" customHeight="false" outlineLevel="0" collapsed="false">
      <c r="B8" s="3" t="s">
        <v>6</v>
      </c>
      <c r="C8" s="5" t="n">
        <v>0.0724</v>
      </c>
    </row>
    <row r="9" customFormat="false" ht="15" hidden="false" customHeight="false" outlineLevel="0" collapsed="false">
      <c r="B9" s="3" t="s">
        <v>7</v>
      </c>
      <c r="C9" s="4" t="n">
        <v>25</v>
      </c>
    </row>
    <row r="10" customFormat="false" ht="15" hidden="false" customHeight="false" outlineLevel="0" collapsed="false">
      <c r="B10" s="3" t="s">
        <v>8</v>
      </c>
      <c r="C10" s="6" t="n">
        <v>0.064</v>
      </c>
    </row>
    <row r="11" customFormat="false" ht="15" hidden="false" customHeight="false" outlineLevel="0" collapsed="false">
      <c r="B11" s="3" t="s">
        <v>9</v>
      </c>
      <c r="C11" s="6" t="n">
        <v>0.025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3" t="s">
        <v>11</v>
      </c>
      <c r="C14" s="4" t="n">
        <v>0.1762</v>
      </c>
      <c r="E14" s="7" t="s">
        <v>12</v>
      </c>
    </row>
    <row r="15" customFormat="false" ht="15" hidden="false" customHeight="false" outlineLevel="0" collapsed="false">
      <c r="B15" s="3" t="s">
        <v>13</v>
      </c>
      <c r="C15" s="4" t="n">
        <v>0.0834</v>
      </c>
    </row>
    <row r="16" customFormat="false" ht="15" hidden="false" customHeight="false" outlineLevel="0" collapsed="false">
      <c r="B16" s="3" t="s">
        <v>14</v>
      </c>
      <c r="C16" s="4" t="n">
        <v>0.0589</v>
      </c>
    </row>
    <row r="17" customFormat="false" ht="15" hidden="false" customHeight="false" outlineLevel="0" collapsed="false">
      <c r="B17" s="3" t="s">
        <v>15</v>
      </c>
      <c r="C17" s="4" t="n">
        <v>0.034</v>
      </c>
      <c r="E17" s="7" t="s">
        <v>16</v>
      </c>
    </row>
    <row r="18" customFormat="false" ht="15" hidden="false" customHeight="false" outlineLevel="0" collapsed="false">
      <c r="B18" s="3" t="s">
        <v>17</v>
      </c>
      <c r="C18" s="4" t="n">
        <v>14</v>
      </c>
    </row>
    <row r="19" customFormat="false" ht="15" hidden="false" customHeight="false" outlineLevel="0" collapsed="false">
      <c r="B19" s="3" t="s">
        <v>18</v>
      </c>
      <c r="C19" s="4" t="n">
        <v>1472.6</v>
      </c>
    </row>
    <row r="21" customFormat="false" ht="15" hidden="false" customHeight="false" outlineLevel="0" collapsed="false">
      <c r="B21" s="2" t="s">
        <v>19</v>
      </c>
    </row>
    <row r="22" customFormat="false" ht="15" hidden="false" customHeight="false" outlineLevel="0" collapsed="false">
      <c r="B22" s="3" t="s">
        <v>20</v>
      </c>
      <c r="C22" s="4" t="n">
        <v>2077</v>
      </c>
    </row>
    <row r="23" customFormat="false" ht="15" hidden="false" customHeight="false" outlineLevel="0" collapsed="false">
      <c r="B23" s="3" t="s">
        <v>21</v>
      </c>
      <c r="C23" s="4" t="n">
        <v>5400</v>
      </c>
    </row>
    <row r="24" customFormat="false" ht="15" hidden="false" customHeight="false" outlineLevel="0" collapsed="false">
      <c r="B24" s="3" t="s">
        <v>22</v>
      </c>
      <c r="C24" s="4" t="n">
        <v>277</v>
      </c>
    </row>
    <row r="25" customFormat="false" ht="15" hidden="false" customHeight="false" outlineLevel="0" collapsed="false">
      <c r="B25" s="3" t="s">
        <v>23</v>
      </c>
      <c r="C25" s="4" t="n">
        <v>0</v>
      </c>
    </row>
    <row r="26" customFormat="false" ht="15" hidden="false" customHeight="false" outlineLevel="0" collapsed="false">
      <c r="B26" s="3" t="s">
        <v>24</v>
      </c>
      <c r="C26" s="4" t="n">
        <v>0</v>
      </c>
    </row>
    <row r="28" customFormat="false" ht="15" hidden="false" customHeight="false" outlineLevel="0" collapsed="false">
      <c r="B28" s="2" t="s">
        <v>25</v>
      </c>
    </row>
    <row r="29" customFormat="false" ht="15" hidden="false" customHeight="false" outlineLevel="0" collapsed="false">
      <c r="B29" s="3" t="s">
        <v>26</v>
      </c>
      <c r="C29" s="4" t="n">
        <v>517.05</v>
      </c>
    </row>
    <row r="30" customFormat="false" ht="15" hidden="false" customHeight="false" outlineLevel="0" collapsed="false">
      <c r="B30" s="3" t="s">
        <v>27</v>
      </c>
      <c r="C30" s="4" t="n">
        <v>574.67</v>
      </c>
    </row>
    <row r="32" customFormat="false" ht="15" hidden="false" customHeight="false" outlineLevel="0" collapsed="false">
      <c r="B32" s="2" t="s">
        <v>28</v>
      </c>
    </row>
    <row r="33" customFormat="false" ht="15" hidden="false" customHeight="false" outlineLevel="0" collapsed="false">
      <c r="B33" s="8" t="s">
        <v>29</v>
      </c>
    </row>
    <row r="34" customFormat="false" ht="15" hidden="false" customHeight="false" outlineLevel="0" collapsed="false">
      <c r="B34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7" min="2" style="0" width="11"/>
  </cols>
  <sheetData>
    <row r="5" customFormat="false" ht="15" hidden="false" customHeight="false" outlineLevel="0" collapsed="false">
      <c r="A5" s="10" t="s">
        <v>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customFormat="false" ht="15" hidden="false" customHeight="false" outlineLevel="0" collapsed="false">
      <c r="A6" s="2" t="s">
        <v>32</v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 customFormat="false" ht="15" hidden="false" customHeight="false" outlineLevel="0" collapsed="false">
      <c r="A7" s="3" t="s">
        <v>33</v>
      </c>
      <c r="B7" s="12" t="n">
        <v>15464</v>
      </c>
      <c r="C7" s="13" t="n">
        <f aca="false">B7-C9</f>
        <v>15227.8042457216</v>
      </c>
      <c r="D7" s="13" t="n">
        <f aca="false">C7-D9</f>
        <v>14974.5079188334</v>
      </c>
      <c r="E7" s="13" t="n">
        <f aca="false">D7-E9</f>
        <v>14702.8729378786</v>
      </c>
      <c r="F7" s="13" t="n">
        <f aca="false">E7-F9</f>
        <v>14411.5715843026</v>
      </c>
      <c r="G7" s="13" t="n">
        <f aca="false">F7-G9</f>
        <v>14099.1800127277</v>
      </c>
      <c r="H7" s="13" t="n">
        <f aca="false">G7-H9</f>
        <v>13764.1712913708</v>
      </c>
      <c r="I7" s="13" t="n">
        <f aca="false">H7-I9</f>
        <v>13404.9079385876</v>
      </c>
      <c r="J7" s="13" t="n">
        <f aca="false">I7-J9</f>
        <v>13019.6339190629</v>
      </c>
      <c r="K7" s="13" t="n">
        <f aca="false">J7-K9</f>
        <v>12606.4660605247</v>
      </c>
      <c r="L7" s="13" t="n">
        <f aca="false">K7-L9</f>
        <v>12163.3848490283</v>
      </c>
      <c r="M7" s="13" t="n">
        <f aca="false">L7-M9</f>
        <v>11688.2245578195</v>
      </c>
      <c r="N7" s="13" t="n">
        <f aca="false">M7-N9</f>
        <v>11178.6626615272</v>
      </c>
      <c r="O7" s="13" t="n">
        <f aca="false">N7-O9</f>
        <v>10632.2084839434</v>
      </c>
      <c r="P7" s="13" t="n">
        <f aca="false">O7-P9</f>
        <v>10046.1910239025</v>
      </c>
      <c r="Q7" s="13" t="n">
        <f aca="false">P7-Q9</f>
        <v>9417.74589975462</v>
      </c>
      <c r="R7" s="13" t="n">
        <f aca="false">Q7-R9</f>
        <v>8743.80134861845</v>
      </c>
      <c r="S7" s="13" t="n">
        <f aca="false">R7-S9</f>
        <v>8021.06321198002</v>
      </c>
      <c r="T7" s="13" t="n">
        <f aca="false">S7-T9</f>
        <v>7245.99883424896</v>
      </c>
      <c r="U7" s="13" t="n">
        <f aca="false">T7-U9</f>
        <v>6414.81979557018</v>
      </c>
      <c r="V7" s="13" t="n">
        <f aca="false">U7-V9</f>
        <v>5523.46339449106</v>
      </c>
      <c r="W7" s="13" t="n">
        <f aca="false">V7-W9</f>
        <v>4567.57278997381</v>
      </c>
      <c r="X7" s="13" t="n">
        <f aca="false">W7-X9</f>
        <v>3542.4757056895</v>
      </c>
      <c r="Y7" s="13" t="n">
        <f aca="false">X7-Y9</f>
        <v>2443.16159250302</v>
      </c>
      <c r="Z7" s="13" t="n">
        <f aca="false">Y7-Z9</f>
        <v>1264.25713752183</v>
      </c>
      <c r="AA7" s="13" t="n">
        <f aca="false">Z7-AA9</f>
        <v>5.91171556152403E-012</v>
      </c>
    </row>
    <row r="8" customFormat="false" ht="15" hidden="false" customHeight="false" outlineLevel="0" collapsed="false">
      <c r="A8" s="3" t="s">
        <v>34</v>
      </c>
      <c r="B8" s="13" t="n">
        <v>0</v>
      </c>
      <c r="C8" s="13" t="n">
        <f aca="false">B7*Inputs!$C$8</f>
        <v>1119.5936</v>
      </c>
      <c r="D8" s="13" t="n">
        <f aca="false">C7*Inputs!$C$8</f>
        <v>1102.49302739024</v>
      </c>
      <c r="E8" s="13" t="n">
        <f aca="false">D7*Inputs!$C$8</f>
        <v>1084.15437332354</v>
      </c>
      <c r="F8" s="13" t="n">
        <f aca="false">E7*Inputs!$C$8</f>
        <v>1064.48800070241</v>
      </c>
      <c r="G8" s="13" t="n">
        <f aca="false">F7*Inputs!$C$8</f>
        <v>1043.39778270351</v>
      </c>
      <c r="H8" s="13" t="n">
        <f aca="false">G7*Inputs!$C$8</f>
        <v>1020.78063292148</v>
      </c>
      <c r="I8" s="13" t="n">
        <f aca="false">H7*Inputs!$C$8</f>
        <v>996.526001495242</v>
      </c>
      <c r="J8" s="13" t="n">
        <f aca="false">I7*Inputs!$C$8</f>
        <v>970.515334753742</v>
      </c>
      <c r="K8" s="13" t="n">
        <f aca="false">J7*Inputs!$C$8</f>
        <v>942.621495740156</v>
      </c>
      <c r="L8" s="13" t="n">
        <f aca="false">K7*Inputs!$C$8</f>
        <v>912.708142781987</v>
      </c>
      <c r="M8" s="13" t="n">
        <f aca="false">L7*Inputs!$C$8</f>
        <v>880.629063069646</v>
      </c>
      <c r="N8" s="13" t="n">
        <f aca="false">M7*Inputs!$C$8</f>
        <v>846.227457986132</v>
      </c>
      <c r="O8" s="13" t="n">
        <f aca="false">N7*Inputs!$C$8</f>
        <v>809.335176694571</v>
      </c>
      <c r="P8" s="13" t="n">
        <f aca="false">O7*Inputs!$C$8</f>
        <v>769.771894237501</v>
      </c>
      <c r="Q8" s="13" t="n">
        <f aca="false">P7*Inputs!$C$8</f>
        <v>727.34423013054</v>
      </c>
      <c r="R8" s="13" t="n">
        <f aca="false">Q7*Inputs!$C$8</f>
        <v>681.844803142234</v>
      </c>
      <c r="S8" s="13" t="n">
        <f aca="false">R7*Inputs!$C$8</f>
        <v>633.051217639975</v>
      </c>
      <c r="T8" s="13" t="n">
        <f aca="false">S7*Inputs!$C$8</f>
        <v>580.724976547353</v>
      </c>
      <c r="U8" s="13" t="n">
        <f aca="false">T7*Inputs!$C$8</f>
        <v>524.610315599625</v>
      </c>
      <c r="V8" s="13" t="n">
        <f aca="false">U7*Inputs!$C$8</f>
        <v>464.432953199281</v>
      </c>
      <c r="W8" s="13" t="n">
        <f aca="false">V7*Inputs!$C$8</f>
        <v>399.898749761153</v>
      </c>
      <c r="X8" s="13" t="n">
        <f aca="false">W7*Inputs!$C$8</f>
        <v>330.692269994104</v>
      </c>
      <c r="Y8" s="13" t="n">
        <f aca="false">X7*Inputs!$C$8</f>
        <v>256.47524109192</v>
      </c>
      <c r="Z8" s="13" t="n">
        <f aca="false">Y7*Inputs!$C$8</f>
        <v>176.884899297219</v>
      </c>
      <c r="AA8" s="13" t="n">
        <f aca="false">Z7*Inputs!$C$8</f>
        <v>91.5322167565806</v>
      </c>
    </row>
    <row r="9" customFormat="false" ht="15" hidden="false" customHeight="false" outlineLevel="0" collapsed="false">
      <c r="A9" s="3" t="s">
        <v>35</v>
      </c>
      <c r="B9" s="13" t="n">
        <v>0</v>
      </c>
      <c r="C9" s="13" t="n">
        <f aca="false">-PMT(Inputs!$C$8,Inputs!$C$9,$B$7)-C8</f>
        <v>236.195754278405</v>
      </c>
      <c r="D9" s="13" t="n">
        <f aca="false">-PMT(Inputs!$C$8,Inputs!$C$9,$B$7)-D8</f>
        <v>253.296326888162</v>
      </c>
      <c r="E9" s="13" t="n">
        <f aca="false">-PMT(Inputs!$C$8,Inputs!$C$9,$B$7)-E8</f>
        <v>271.634980954865</v>
      </c>
      <c r="F9" s="13" t="n">
        <f aca="false">-PMT(Inputs!$C$8,Inputs!$C$9,$B$7)-F8</f>
        <v>291.301353575997</v>
      </c>
      <c r="G9" s="13" t="n">
        <f aca="false">-PMT(Inputs!$C$8,Inputs!$C$9,$B$7)-G8</f>
        <v>312.391571574899</v>
      </c>
      <c r="H9" s="13" t="n">
        <f aca="false">-PMT(Inputs!$C$8,Inputs!$C$9,$B$7)-H8</f>
        <v>335.008721356922</v>
      </c>
      <c r="I9" s="13" t="n">
        <f aca="false">-PMT(Inputs!$C$8,Inputs!$C$9,$B$7)-I8</f>
        <v>359.263352783163</v>
      </c>
      <c r="J9" s="13" t="n">
        <f aca="false">-PMT(Inputs!$C$8,Inputs!$C$9,$B$7)-J8</f>
        <v>385.274019524664</v>
      </c>
      <c r="K9" s="13" t="n">
        <f aca="false">-PMT(Inputs!$C$8,Inputs!$C$9,$B$7)-K8</f>
        <v>413.16785853825</v>
      </c>
      <c r="L9" s="13" t="n">
        <f aca="false">-PMT(Inputs!$C$8,Inputs!$C$9,$B$7)-L8</f>
        <v>443.081211496419</v>
      </c>
      <c r="M9" s="13" t="n">
        <f aca="false">-PMT(Inputs!$C$8,Inputs!$C$9,$B$7)-M8</f>
        <v>475.16029120876</v>
      </c>
      <c r="N9" s="13" t="n">
        <f aca="false">-PMT(Inputs!$C$8,Inputs!$C$9,$B$7)-N8</f>
        <v>509.561896292274</v>
      </c>
      <c r="O9" s="13" t="n">
        <f aca="false">-PMT(Inputs!$C$8,Inputs!$C$9,$B$7)-O8</f>
        <v>546.454177583835</v>
      </c>
      <c r="P9" s="13" t="n">
        <f aca="false">-PMT(Inputs!$C$8,Inputs!$C$9,$B$7)-P8</f>
        <v>586.017460040904</v>
      </c>
      <c r="Q9" s="13" t="n">
        <f aca="false">-PMT(Inputs!$C$8,Inputs!$C$9,$B$7)-Q8</f>
        <v>628.445124147866</v>
      </c>
      <c r="R9" s="13" t="n">
        <f aca="false">-PMT(Inputs!$C$8,Inputs!$C$9,$B$7)-R8</f>
        <v>673.944551136171</v>
      </c>
      <c r="S9" s="13" t="n">
        <f aca="false">-PMT(Inputs!$C$8,Inputs!$C$9,$B$7)-S8</f>
        <v>722.73813663843</v>
      </c>
      <c r="T9" s="13" t="n">
        <f aca="false">-PMT(Inputs!$C$8,Inputs!$C$9,$B$7)-T8</f>
        <v>775.064377731052</v>
      </c>
      <c r="U9" s="13" t="n">
        <f aca="false">-PMT(Inputs!$C$8,Inputs!$C$9,$B$7)-U8</f>
        <v>831.179038678781</v>
      </c>
      <c r="V9" s="13" t="n">
        <f aca="false">-PMT(Inputs!$C$8,Inputs!$C$9,$B$7)-V8</f>
        <v>891.356401079124</v>
      </c>
      <c r="W9" s="13" t="n">
        <f aca="false">-PMT(Inputs!$C$8,Inputs!$C$9,$B$7)-W8</f>
        <v>955.890604517253</v>
      </c>
      <c r="X9" s="13" t="n">
        <f aca="false">-PMT(Inputs!$C$8,Inputs!$C$9,$B$7)-X8</f>
        <v>1025.0970842843</v>
      </c>
      <c r="Y9" s="13" t="n">
        <f aca="false">-PMT(Inputs!$C$8,Inputs!$C$9,$B$7)-Y8</f>
        <v>1099.31411318649</v>
      </c>
      <c r="Z9" s="13" t="n">
        <f aca="false">-PMT(Inputs!$C$8,Inputs!$C$9,$B$7)-Z8</f>
        <v>1178.90445498119</v>
      </c>
      <c r="AA9" s="13" t="n">
        <f aca="false">-PMT(Inputs!$C$8,Inputs!$C$9,$B$7)-AA8</f>
        <v>1264.25713752183</v>
      </c>
    </row>
    <row r="10" customFormat="false" ht="15" hidden="false" customHeight="false" outlineLevel="0" collapsed="false">
      <c r="A10" s="3" t="s">
        <v>36</v>
      </c>
      <c r="B10" s="13" t="n">
        <v>0</v>
      </c>
      <c r="C10" s="13" t="n">
        <f aca="false">C8+C9</f>
        <v>1355.78935427841</v>
      </c>
      <c r="D10" s="13" t="n">
        <f aca="false">D8+D9</f>
        <v>1355.78935427841</v>
      </c>
      <c r="E10" s="13" t="n">
        <f aca="false">E8+E9</f>
        <v>1355.78935427841</v>
      </c>
      <c r="F10" s="13" t="n">
        <f aca="false">F8+F9</f>
        <v>1355.78935427841</v>
      </c>
      <c r="G10" s="13" t="n">
        <f aca="false">G8+G9</f>
        <v>1355.78935427841</v>
      </c>
      <c r="H10" s="13" t="n">
        <f aca="false">H8+H9</f>
        <v>1355.78935427841</v>
      </c>
      <c r="I10" s="13" t="n">
        <f aca="false">I8+I9</f>
        <v>1355.78935427841</v>
      </c>
      <c r="J10" s="13" t="n">
        <f aca="false">J8+J9</f>
        <v>1355.78935427841</v>
      </c>
      <c r="K10" s="13" t="n">
        <f aca="false">K8+K9</f>
        <v>1355.78935427841</v>
      </c>
      <c r="L10" s="13" t="n">
        <f aca="false">L8+L9</f>
        <v>1355.78935427841</v>
      </c>
      <c r="M10" s="13" t="n">
        <f aca="false">M8+M9</f>
        <v>1355.78935427841</v>
      </c>
      <c r="N10" s="13" t="n">
        <f aca="false">N8+N9</f>
        <v>1355.78935427841</v>
      </c>
      <c r="O10" s="13" t="n">
        <f aca="false">O8+O9</f>
        <v>1355.78935427841</v>
      </c>
      <c r="P10" s="13" t="n">
        <f aca="false">P8+P9</f>
        <v>1355.78935427841</v>
      </c>
      <c r="Q10" s="13" t="n">
        <f aca="false">Q8+Q9</f>
        <v>1355.78935427841</v>
      </c>
      <c r="R10" s="13" t="n">
        <f aca="false">R8+R9</f>
        <v>1355.78935427841</v>
      </c>
      <c r="S10" s="13" t="n">
        <f aca="false">S8+S9</f>
        <v>1355.78935427841</v>
      </c>
      <c r="T10" s="13" t="n">
        <f aca="false">T8+T9</f>
        <v>1355.78935427841</v>
      </c>
      <c r="U10" s="13" t="n">
        <f aca="false">U8+U9</f>
        <v>1355.78935427841</v>
      </c>
      <c r="V10" s="13" t="n">
        <f aca="false">V8+V9</f>
        <v>1355.78935427841</v>
      </c>
      <c r="W10" s="13" t="n">
        <f aca="false">W8+W9</f>
        <v>1355.78935427841</v>
      </c>
      <c r="X10" s="13" t="n">
        <f aca="false">X8+X9</f>
        <v>1355.78935427841</v>
      </c>
      <c r="Y10" s="13" t="n">
        <f aca="false">Y8+Y9</f>
        <v>1355.78935427841</v>
      </c>
      <c r="Z10" s="13" t="n">
        <f aca="false">Z8+Z9</f>
        <v>1355.78935427841</v>
      </c>
      <c r="AA10" s="13" t="n">
        <f aca="false">AA8+AA9</f>
        <v>1355.78935427841</v>
      </c>
    </row>
    <row r="11" customFormat="false" ht="15" hidden="false" customHeight="false" outlineLevel="0" collapsed="false">
      <c r="A11" s="3" t="s">
        <v>37</v>
      </c>
      <c r="B11" s="13" t="n">
        <v>0</v>
      </c>
      <c r="C11" s="12" t="n">
        <v>1472.6</v>
      </c>
      <c r="D11" s="13" t="n">
        <f aca="false">C11*(1+Inputs!$C$11)</f>
        <v>1509.415</v>
      </c>
      <c r="E11" s="13" t="n">
        <f aca="false">D11*(1+Inputs!$C$11)</f>
        <v>1547.150375</v>
      </c>
      <c r="F11" s="13" t="n">
        <f aca="false">E11*(1+Inputs!$C$11)</f>
        <v>1585.829134375</v>
      </c>
      <c r="G11" s="13" t="n">
        <f aca="false">F11*(1+Inputs!$C$11)</f>
        <v>1625.47486273437</v>
      </c>
      <c r="H11" s="13" t="n">
        <f aca="false">G11*(1+Inputs!$C$11)</f>
        <v>1666.11173430273</v>
      </c>
      <c r="I11" s="13" t="n">
        <f aca="false">H11*(1+Inputs!$C$11)</f>
        <v>1707.7645276603</v>
      </c>
      <c r="J11" s="13" t="n">
        <f aca="false">I11*(1+Inputs!$C$11)</f>
        <v>1750.45864085181</v>
      </c>
      <c r="K11" s="13" t="n">
        <f aca="false">J11*(1+Inputs!$C$11)</f>
        <v>1794.2201068731</v>
      </c>
      <c r="L11" s="13" t="n">
        <f aca="false">K11*(1+Inputs!$C$11)</f>
        <v>1839.07560954493</v>
      </c>
      <c r="M11" s="13" t="n">
        <f aca="false">L11*(1+Inputs!$C$11)</f>
        <v>1885.05249978355</v>
      </c>
      <c r="N11" s="13" t="n">
        <f aca="false">M11*(1+Inputs!$C$11)</f>
        <v>1932.17881227814</v>
      </c>
      <c r="O11" s="13" t="n">
        <f aca="false">N11*(1+Inputs!$C$11)</f>
        <v>1980.4832825851</v>
      </c>
      <c r="P11" s="13" t="n">
        <f aca="false">O11*(1+Inputs!$C$11)</f>
        <v>2029.99536464972</v>
      </c>
      <c r="Q11" s="13" t="n">
        <f aca="false">P11*(1+Inputs!$C$11)</f>
        <v>2080.74524876597</v>
      </c>
      <c r="R11" s="13" t="n">
        <f aca="false">Q11*(1+Inputs!$C$11)</f>
        <v>2132.76387998512</v>
      </c>
      <c r="S11" s="13" t="n">
        <f aca="false">R11*(1+Inputs!$C$11)</f>
        <v>2186.08297698474</v>
      </c>
      <c r="T11" s="13" t="n">
        <f aca="false">S11*(1+Inputs!$C$11)</f>
        <v>2240.73505140936</v>
      </c>
      <c r="U11" s="13" t="n">
        <f aca="false">T11*(1+Inputs!$C$11)</f>
        <v>2296.7534276946</v>
      </c>
      <c r="V11" s="13" t="n">
        <f aca="false">U11*(1+Inputs!$C$11)</f>
        <v>2354.17226338696</v>
      </c>
      <c r="W11" s="13" t="n">
        <f aca="false">V11*(1+Inputs!$C$11)</f>
        <v>2413.02656997163</v>
      </c>
      <c r="X11" s="13" t="n">
        <f aca="false">W11*(1+Inputs!$C$11)</f>
        <v>2473.35223422093</v>
      </c>
      <c r="Y11" s="13" t="n">
        <f aca="false">X11*(1+Inputs!$C$11)</f>
        <v>2535.18604007645</v>
      </c>
      <c r="Z11" s="13" t="n">
        <f aca="false">Y11*(1+Inputs!$C$11)</f>
        <v>2598.56569107836</v>
      </c>
      <c r="AA11" s="13" t="n">
        <f aca="false">Z11*(1+Inputs!$C$11)</f>
        <v>2663.52983335532</v>
      </c>
    </row>
    <row r="12" customFormat="false" ht="15" hidden="false" customHeight="false" outlineLevel="0" collapsed="false">
      <c r="A12" s="3" t="s">
        <v>38</v>
      </c>
      <c r="B12" s="13" t="n">
        <v>0</v>
      </c>
      <c r="C12" s="12" t="n">
        <v>955.55</v>
      </c>
      <c r="D12" s="13" t="n">
        <f aca="false">D11-517.05*(1+Inputs!$C$11)^(2-1)</f>
        <v>979.43875</v>
      </c>
      <c r="E12" s="13" t="n">
        <f aca="false">E11-517.05*(1+Inputs!$C$11)^(3-1)</f>
        <v>1003.92471875</v>
      </c>
      <c r="F12" s="13" t="n">
        <f aca="false">F11-517.05*(1+Inputs!$C$11)^(4-1)</f>
        <v>1029.02283671875</v>
      </c>
      <c r="G12" s="13" t="n">
        <f aca="false">G11-517.05*(1+Inputs!$C$11)^(5-1)</f>
        <v>1054.74840763672</v>
      </c>
      <c r="H12" s="13" t="n">
        <f aca="false">H11-517.05*(1+Inputs!$C$11)^(6-1)</f>
        <v>1081.11711782764</v>
      </c>
      <c r="I12" s="13" t="n">
        <f aca="false">I11-517.05*(1+Inputs!$C$11)^(7-1)</f>
        <v>1108.14504577333</v>
      </c>
      <c r="J12" s="13" t="n">
        <f aca="false">J11-517.05*(1+Inputs!$C$11)^(8-1)</f>
        <v>1135.84867191766</v>
      </c>
      <c r="K12" s="13" t="n">
        <f aca="false">K11-517.05*(1+Inputs!$C$11)^(9-1)</f>
        <v>1164.2448887156</v>
      </c>
      <c r="L12" s="13" t="n">
        <f aca="false">L11-517.05*(1+Inputs!$C$11)^(10-1)</f>
        <v>1193.35101093349</v>
      </c>
      <c r="M12" s="13" t="n">
        <f aca="false">M11-517.05*(1+Inputs!$C$11)^(11-1)</f>
        <v>1223.18478620683</v>
      </c>
      <c r="N12" s="13" t="n">
        <f aca="false">N11-517.05*(1+Inputs!$C$11)^(12-1)</f>
        <v>1253.764405862</v>
      </c>
      <c r="O12" s="13" t="n">
        <f aca="false">O11-517.05*(1+Inputs!$C$11)^(13-1)</f>
        <v>1285.10851600855</v>
      </c>
      <c r="P12" s="13" t="n">
        <f aca="false">P11-517.05*(1+Inputs!$C$11)^(14-1)</f>
        <v>1317.23622890876</v>
      </c>
      <c r="Q12" s="13" t="n">
        <f aca="false">Q11-517.05*(1+Inputs!$C$11)^(15-1)</f>
        <v>1350.16713463148</v>
      </c>
      <c r="R12" s="13" t="n">
        <f aca="false">R11-517.05*(1+Inputs!$C$11)^(16-1)</f>
        <v>1383.92131299727</v>
      </c>
      <c r="S12" s="13" t="n">
        <f aca="false">S11-517.05*(1+Inputs!$C$11)^(17-1)</f>
        <v>1418.5193458222</v>
      </c>
      <c r="T12" s="13" t="n">
        <f aca="false">T11-517.05*(1+Inputs!$C$11)^(18-1)</f>
        <v>1453.98232946776</v>
      </c>
      <c r="U12" s="13" t="n">
        <f aca="false">U11-517.05*(1+Inputs!$C$11)^(19-1)</f>
        <v>1490.33188770445</v>
      </c>
      <c r="V12" s="13" t="n">
        <f aca="false">V11-517.05*(1+Inputs!$C$11)^(20-1)</f>
        <v>1527.59018489706</v>
      </c>
      <c r="W12" s="13" t="n">
        <f aca="false">W11-517.05*(1+Inputs!$C$11)^(21-1)</f>
        <v>1565.77993951949</v>
      </c>
      <c r="X12" s="13" t="n">
        <f aca="false">X11-517.05*(1+Inputs!$C$11)^(22-1)</f>
        <v>1604.92443800747</v>
      </c>
      <c r="Y12" s="13" t="n">
        <f aca="false">Y11-517.05*(1+Inputs!$C$11)^(23-1)</f>
        <v>1645.04754895766</v>
      </c>
      <c r="Z12" s="13" t="n">
        <f aca="false">Z11-517.05*(1+Inputs!$C$11)^(24-1)</f>
        <v>1686.1737376816</v>
      </c>
      <c r="AA12" s="13" t="n">
        <f aca="false">AA11-517.05*(1+Inputs!$C$11)^(25-1)</f>
        <v>1728.32808112364</v>
      </c>
    </row>
    <row r="13" customFormat="false" ht="15" hidden="false" customHeight="false" outlineLevel="0" collapsed="false">
      <c r="A13" s="3" t="s">
        <v>39</v>
      </c>
      <c r="B13" s="13" t="n">
        <v>0</v>
      </c>
      <c r="C13" s="13" t="n">
        <f aca="false">C11-C12</f>
        <v>517.05</v>
      </c>
      <c r="D13" s="13" t="n">
        <f aca="false">D11-D12</f>
        <v>529.97625</v>
      </c>
      <c r="E13" s="13" t="n">
        <f aca="false">E11-E12</f>
        <v>543.22565625</v>
      </c>
      <c r="F13" s="13" t="n">
        <f aca="false">F11-F12</f>
        <v>556.80629765625</v>
      </c>
      <c r="G13" s="13" t="n">
        <f aca="false">G11-G12</f>
        <v>570.726455097656</v>
      </c>
      <c r="H13" s="13" t="n">
        <f aca="false">H11-H12</f>
        <v>584.994616475098</v>
      </c>
      <c r="I13" s="13" t="n">
        <f aca="false">I11-I12</f>
        <v>599.619481886975</v>
      </c>
      <c r="J13" s="13" t="n">
        <f aca="false">J11-J12</f>
        <v>614.609968934149</v>
      </c>
      <c r="K13" s="13" t="n">
        <f aca="false">K11-K12</f>
        <v>629.975218157503</v>
      </c>
      <c r="L13" s="13" t="n">
        <f aca="false">L11-L12</f>
        <v>645.72459861144</v>
      </c>
      <c r="M13" s="13" t="n">
        <f aca="false">M11-M12</f>
        <v>661.867713576726</v>
      </c>
      <c r="N13" s="13" t="n">
        <f aca="false">N11-N12</f>
        <v>678.414406416144</v>
      </c>
      <c r="O13" s="13" t="n">
        <f aca="false">O11-O12</f>
        <v>695.374766576548</v>
      </c>
      <c r="P13" s="13" t="n">
        <f aca="false">P11-P12</f>
        <v>712.759135740961</v>
      </c>
      <c r="Q13" s="13" t="n">
        <f aca="false">Q11-Q12</f>
        <v>730.578114134486</v>
      </c>
      <c r="R13" s="13" t="n">
        <f aca="false">R11-R12</f>
        <v>748.842566987848</v>
      </c>
      <c r="S13" s="13" t="n">
        <f aca="false">S11-S12</f>
        <v>767.563631162544</v>
      </c>
      <c r="T13" s="13" t="n">
        <f aca="false">T11-T12</f>
        <v>786.752721941607</v>
      </c>
      <c r="U13" s="13" t="n">
        <f aca="false">U11-U12</f>
        <v>806.421539990147</v>
      </c>
      <c r="V13" s="13" t="n">
        <f aca="false">V11-V12</f>
        <v>826.582078489901</v>
      </c>
      <c r="W13" s="13" t="n">
        <f aca="false">W11-W12</f>
        <v>847.246630452148</v>
      </c>
      <c r="X13" s="13" t="n">
        <f aca="false">X11-X12</f>
        <v>868.427796213452</v>
      </c>
      <c r="Y13" s="13" t="n">
        <f aca="false">Y11-Y12</f>
        <v>890.138491118788</v>
      </c>
      <c r="Z13" s="13" t="n">
        <f aca="false">Z11-Z12</f>
        <v>912.391953396758</v>
      </c>
      <c r="AA13" s="13" t="n">
        <f aca="false">AA11-AA12</f>
        <v>935.201752231676</v>
      </c>
    </row>
    <row r="14" customFormat="false" ht="15" hidden="false" customHeight="false" outlineLevel="0" collapsed="false">
      <c r="A14" s="3" t="s">
        <v>40</v>
      </c>
      <c r="B14" s="13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</row>
    <row r="15" customFormat="false" ht="15" hidden="false" customHeight="false" outlineLevel="0" collapsed="false">
      <c r="A15" s="3" t="s">
        <v>41</v>
      </c>
      <c r="B15" s="13" t="n">
        <v>0</v>
      </c>
      <c r="C15" s="13" t="n">
        <f aca="false">C13+C14</f>
        <v>517.05</v>
      </c>
      <c r="D15" s="13" t="n">
        <f aca="false">D13+D14</f>
        <v>529.97625</v>
      </c>
      <c r="E15" s="13" t="n">
        <f aca="false">E13+E14</f>
        <v>543.22565625</v>
      </c>
      <c r="F15" s="13" t="n">
        <f aca="false">F13+F14</f>
        <v>556.80629765625</v>
      </c>
      <c r="G15" s="13" t="n">
        <f aca="false">G13+G14</f>
        <v>570.726455097656</v>
      </c>
      <c r="H15" s="13" t="n">
        <f aca="false">H13+H14</f>
        <v>584.994616475098</v>
      </c>
      <c r="I15" s="13" t="n">
        <f aca="false">I13+I14</f>
        <v>599.619481886975</v>
      </c>
      <c r="J15" s="13" t="n">
        <f aca="false">J13+J14</f>
        <v>614.609968934149</v>
      </c>
      <c r="K15" s="13" t="n">
        <f aca="false">K13+K14</f>
        <v>629.975218157503</v>
      </c>
      <c r="L15" s="13" t="n">
        <f aca="false">L13+L14</f>
        <v>645.72459861144</v>
      </c>
      <c r="M15" s="13" t="n">
        <f aca="false">M13+M14</f>
        <v>661.867713576726</v>
      </c>
      <c r="N15" s="13" t="n">
        <f aca="false">N13+N14</f>
        <v>678.414406416144</v>
      </c>
      <c r="O15" s="13" t="n">
        <f aca="false">O13+O14</f>
        <v>695.374766576548</v>
      </c>
      <c r="P15" s="13" t="n">
        <f aca="false">P13+P14</f>
        <v>712.759135740961</v>
      </c>
      <c r="Q15" s="13" t="n">
        <f aca="false">Q13+Q14</f>
        <v>730.578114134486</v>
      </c>
      <c r="R15" s="13" t="n">
        <f aca="false">R13+R14</f>
        <v>748.842566987848</v>
      </c>
      <c r="S15" s="13" t="n">
        <f aca="false">S13+S14</f>
        <v>767.563631162544</v>
      </c>
      <c r="T15" s="13" t="n">
        <f aca="false">T13+T14</f>
        <v>786.752721941607</v>
      </c>
      <c r="U15" s="13" t="n">
        <f aca="false">U13+U14</f>
        <v>806.421539990147</v>
      </c>
      <c r="V15" s="13" t="n">
        <f aca="false">V13+V14</f>
        <v>826.582078489901</v>
      </c>
      <c r="W15" s="13" t="n">
        <f aca="false">W13+W14</f>
        <v>847.246630452148</v>
      </c>
      <c r="X15" s="13" t="n">
        <f aca="false">X13+X14</f>
        <v>868.427796213452</v>
      </c>
      <c r="Y15" s="13" t="n">
        <f aca="false">Y13+Y14</f>
        <v>890.138491118788</v>
      </c>
      <c r="Z15" s="13" t="n">
        <f aca="false">Z13+Z14</f>
        <v>912.391953396758</v>
      </c>
      <c r="AA15" s="13" t="n">
        <f aca="false">AA13+AA14</f>
        <v>935.201752231676</v>
      </c>
    </row>
    <row r="16" customFormat="false" ht="15" hidden="false" customHeight="false" outlineLevel="0" collapsed="false">
      <c r="A16" s="3" t="s">
        <v>42</v>
      </c>
      <c r="B16" s="13" t="n">
        <v>0</v>
      </c>
      <c r="C16" s="13" t="n">
        <f aca="false">C15-C10</f>
        <v>-838.739354278406</v>
      </c>
      <c r="D16" s="13" t="n">
        <f aca="false">D15-D10</f>
        <v>-825.813104278406</v>
      </c>
      <c r="E16" s="13" t="n">
        <f aca="false">E15-E10</f>
        <v>-812.563698028406</v>
      </c>
      <c r="F16" s="13" t="n">
        <f aca="false">F15-F10</f>
        <v>-798.983056622156</v>
      </c>
      <c r="G16" s="13" t="n">
        <f aca="false">G15-G10</f>
        <v>-785.06289918075</v>
      </c>
      <c r="H16" s="13" t="n">
        <f aca="false">H15-H10</f>
        <v>-770.794737803308</v>
      </c>
      <c r="I16" s="13" t="n">
        <f aca="false">I15-I10</f>
        <v>-756.169872391431</v>
      </c>
      <c r="J16" s="13" t="n">
        <f aca="false">J15-J10</f>
        <v>-741.179385344256</v>
      </c>
      <c r="K16" s="13" t="n">
        <f aca="false">K15-K10</f>
        <v>-725.814136120903</v>
      </c>
      <c r="L16" s="13" t="n">
        <f aca="false">L15-L10</f>
        <v>-710.064755666965</v>
      </c>
      <c r="M16" s="13" t="n">
        <f aca="false">M15-M10</f>
        <v>-693.921640701679</v>
      </c>
      <c r="N16" s="13" t="n">
        <f aca="false">N15-N10</f>
        <v>-677.374947862261</v>
      </c>
      <c r="O16" s="13" t="n">
        <f aca="false">O15-O10</f>
        <v>-660.414587701858</v>
      </c>
      <c r="P16" s="13" t="n">
        <f aca="false">P15-P10</f>
        <v>-643.030218537444</v>
      </c>
      <c r="Q16" s="13" t="n">
        <f aca="false">Q15-Q10</f>
        <v>-625.21124014392</v>
      </c>
      <c r="R16" s="13" t="n">
        <f aca="false">R15-R10</f>
        <v>-606.946787290558</v>
      </c>
      <c r="S16" s="13" t="n">
        <f aca="false">S15-S10</f>
        <v>-588.225723115862</v>
      </c>
      <c r="T16" s="13" t="n">
        <f aca="false">T15-T10</f>
        <v>-569.036632336798</v>
      </c>
      <c r="U16" s="13" t="n">
        <f aca="false">U15-U10</f>
        <v>-549.367814288258</v>
      </c>
      <c r="V16" s="13" t="n">
        <f aca="false">V15-V10</f>
        <v>-529.207275788505</v>
      </c>
      <c r="W16" s="13" t="n">
        <f aca="false">W15-W10</f>
        <v>-508.542723826257</v>
      </c>
      <c r="X16" s="13" t="n">
        <f aca="false">X15-X10</f>
        <v>-487.361558064953</v>
      </c>
      <c r="Y16" s="13" t="n">
        <f aca="false">Y15-Y10</f>
        <v>-465.650863159617</v>
      </c>
      <c r="Z16" s="13" t="n">
        <f aca="false">Z15-Z10</f>
        <v>-443.397400881648</v>
      </c>
      <c r="AA16" s="13" t="n">
        <f aca="false">AA15-AA10</f>
        <v>-420.587602046729</v>
      </c>
    </row>
    <row r="17" customFormat="false" ht="15" hidden="false" customHeight="false" outlineLevel="0" collapsed="false">
      <c r="A17" s="3" t="s">
        <v>43</v>
      </c>
      <c r="B17" s="13" t="n">
        <v>0</v>
      </c>
      <c r="C17" s="13" t="n">
        <f aca="false">C16/(1+Inputs!$C$10)^1</f>
        <v>-788.288866803013</v>
      </c>
      <c r="D17" s="13" t="n">
        <f aca="false">C17+D16/(1+Inputs!$C$10)^2</f>
        <v>-1517.74388146467</v>
      </c>
      <c r="E17" s="13" t="n">
        <f aca="false">D17+E16/(1+Inputs!$C$10)^3</f>
        <v>-2192.32243851012</v>
      </c>
      <c r="F17" s="13" t="n">
        <f aca="false">E17+F16/(1+Inputs!$C$10)^4</f>
        <v>-2815.7285533466</v>
      </c>
      <c r="G17" s="13" t="n">
        <f aca="false">F17+G16/(1+Inputs!$C$10)^5</f>
        <v>-3391.4286653999</v>
      </c>
      <c r="H17" s="13" t="n">
        <f aca="false">G17+H16/(1+Inputs!$C$10)^6</f>
        <v>-3922.66647007606</v>
      </c>
      <c r="I17" s="13" t="n">
        <f aca="false">H17+I16/(1+Inputs!$C$10)^7</f>
        <v>-4412.47683872024</v>
      </c>
      <c r="J17" s="13" t="n">
        <f aca="false">I17+J16/(1+Inputs!$C$10)^8</f>
        <v>-4863.69888215799</v>
      </c>
      <c r="K17" s="13" t="n">
        <f aca="false">J17+K16/(1+Inputs!$C$10)^9</f>
        <v>-5278.98821003361</v>
      </c>
      <c r="L17" s="13" t="n">
        <f aca="false">K17+L16/(1+Inputs!$C$10)^10</f>
        <v>-5660.82843499433</v>
      </c>
      <c r="M17" s="13" t="n">
        <f aca="false">L17+M16/(1+Inputs!$C$10)^11</f>
        <v>-6011.54196779354</v>
      </c>
      <c r="N17" s="13" t="n">
        <f aca="false">M17+N16/(1+Inputs!$C$10)^12</f>
        <v>-6333.30014659147</v>
      </c>
      <c r="O17" s="13" t="n">
        <f aca="false">N17+O16/(1+Inputs!$C$10)^13</f>
        <v>-6628.13274110541</v>
      </c>
      <c r="P17" s="13" t="n">
        <f aca="false">O17+P16/(1+Inputs!$C$10)^14</f>
        <v>-6897.93686979401</v>
      </c>
      <c r="Q17" s="13" t="n">
        <f aca="false">P17+Q16/(1+Inputs!$C$10)^15</f>
        <v>-7144.48536594245</v>
      </c>
      <c r="R17" s="13" t="n">
        <f aca="false">Q17+R16/(1+Inputs!$C$10)^16</f>
        <v>-7369.43462633699</v>
      </c>
      <c r="S17" s="13" t="n">
        <f aca="false">R17+S16/(1+Inputs!$C$10)^17</f>
        <v>-7574.33197417138</v>
      </c>
      <c r="T17" s="13" t="n">
        <f aca="false">S17+T16/(1+Inputs!$C$10)^18</f>
        <v>-7760.62256590527</v>
      </c>
      <c r="U17" s="13" t="n">
        <f aca="false">T17+U16/(1+Inputs!$C$10)^19</f>
        <v>-7929.65586998868</v>
      </c>
      <c r="V17" s="13" t="n">
        <f aca="false">U17+V16/(1+Inputs!$C$10)^20</f>
        <v>-8082.69174366975</v>
      </c>
      <c r="W17" s="13" t="n">
        <f aca="false">V17+W16/(1+Inputs!$C$10)^21</f>
        <v>-8220.90613250936</v>
      </c>
      <c r="X17" s="13" t="n">
        <f aca="false">W17+X16/(1+Inputs!$C$10)^22</f>
        <v>-8345.39641572802</v>
      </c>
      <c r="Y17" s="13" t="n">
        <f aca="false">X17+Y16/(1+Inputs!$C$10)^23</f>
        <v>-8457.18641910434</v>
      </c>
      <c r="Z17" s="13" t="n">
        <f aca="false">Y17+Z16/(1+Inputs!$C$10)^24</f>
        <v>-8557.23111582221</v>
      </c>
      <c r="AA17" s="13" t="n">
        <f aca="false">Z17+AA16/(1+Inputs!$C$10)^25</f>
        <v>-8646.42103442237</v>
      </c>
    </row>
    <row r="18" customFormat="false" ht="15" hidden="false" customHeight="false" outlineLevel="0" collapsed="false">
      <c r="A18" s="14" t="s">
        <v>44</v>
      </c>
      <c r="B18" s="15" t="n">
        <f aca="false">IF((C13+C14)&gt;0,B7/(C13+C14),"N/A")</f>
        <v>29.9081326757567</v>
      </c>
    </row>
    <row r="22" customFormat="false" ht="15" hidden="false" customHeight="false" outlineLevel="0" collapsed="false">
      <c r="A22" s="10" t="s">
        <v>45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customFormat="false" ht="15" hidden="false" customHeight="false" outlineLevel="0" collapsed="false">
      <c r="A23" s="2" t="s">
        <v>32</v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 customFormat="false" ht="15" hidden="false" customHeight="false" outlineLevel="0" collapsed="false">
      <c r="A24" s="3" t="s">
        <v>33</v>
      </c>
      <c r="B24" s="12" t="n">
        <v>17541</v>
      </c>
      <c r="C24" s="13" t="n">
        <f aca="false">B24-C26</f>
        <v>17273.0803333033</v>
      </c>
      <c r="D24" s="13" t="n">
        <f aca="false">C24-D26</f>
        <v>16985.7632827378</v>
      </c>
      <c r="E24" s="13" t="n">
        <f aca="false">D24-E26</f>
        <v>16677.6444777113</v>
      </c>
      <c r="F24" s="13" t="n">
        <f aca="false">E24-F26</f>
        <v>16347.2178712009</v>
      </c>
      <c r="G24" s="13" t="n">
        <f aca="false">F24-G26</f>
        <v>15992.8683783792</v>
      </c>
      <c r="H24" s="13" t="n">
        <f aca="false">G24-H26</f>
        <v>15612.8639822772</v>
      </c>
      <c r="I24" s="13" t="n">
        <f aca="false">H24-I26</f>
        <v>15205.3472678974</v>
      </c>
      <c r="J24" s="13" t="n">
        <f aca="false">I24-J26</f>
        <v>14768.3263433965</v>
      </c>
      <c r="K24" s="13" t="n">
        <f aca="false">J24-K26</f>
        <v>14299.6651039617</v>
      </c>
      <c r="L24" s="13" t="n">
        <f aca="false">K24-L26</f>
        <v>13797.0727907918</v>
      </c>
      <c r="M24" s="13" t="n">
        <f aca="false">L24-M26</f>
        <v>13258.0927941485</v>
      </c>
      <c r="N24" s="13" t="n">
        <f aca="false">M24-N26</f>
        <v>12680.0906457481</v>
      </c>
      <c r="O24" s="13" t="n">
        <f aca="false">N24-O26</f>
        <v>12060.2411418036</v>
      </c>
      <c r="P24" s="13" t="n">
        <f aca="false">O24-P26</f>
        <v>11395.5145337735</v>
      </c>
      <c r="Q24" s="13" t="n">
        <f aca="false">P24-Q26</f>
        <v>10682.661719322</v>
      </c>
      <c r="R24" s="13" t="n">
        <f aca="false">Q24-R26</f>
        <v>9918.19836110425</v>
      </c>
      <c r="S24" s="13" t="n">
        <f aca="false">R24-S26</f>
        <v>9098.38785575151</v>
      </c>
      <c r="T24" s="13" t="n">
        <f aca="false">S24-T26</f>
        <v>8219.22306981123</v>
      </c>
      <c r="U24" s="13" t="n">
        <f aca="false">T24-U26</f>
        <v>7276.40675336889</v>
      </c>
      <c r="V24" s="13" t="n">
        <f aca="false">U24-V26</f>
        <v>6265.33053561611</v>
      </c>
      <c r="W24" s="13" t="n">
        <f aca="false">V24-W26</f>
        <v>5181.05239969803</v>
      </c>
      <c r="X24" s="13" t="n">
        <f aca="false">W24-X26</f>
        <v>4018.27252673949</v>
      </c>
      <c r="Y24" s="13" t="n">
        <f aca="false">X24-Y26</f>
        <v>2771.30739097874</v>
      </c>
      <c r="Z24" s="13" t="n">
        <f aca="false">Y24-Z26</f>
        <v>1434.06197938892</v>
      </c>
      <c r="AA24" s="13" t="n">
        <f aca="false">Z24-AA26</f>
        <v>-6.3664629124105E-012</v>
      </c>
    </row>
    <row r="25" customFormat="false" ht="15" hidden="false" customHeight="false" outlineLevel="0" collapsed="false">
      <c r="A25" s="3" t="s">
        <v>34</v>
      </c>
      <c r="B25" s="13" t="n">
        <v>0</v>
      </c>
      <c r="C25" s="13" t="n">
        <f aca="false">B24*Inputs!$C$8</f>
        <v>1269.9684</v>
      </c>
      <c r="D25" s="13" t="n">
        <f aca="false">C24*Inputs!$C$8</f>
        <v>1250.57101613116</v>
      </c>
      <c r="E25" s="13" t="n">
        <f aca="false">D24*Inputs!$C$8</f>
        <v>1229.76926167022</v>
      </c>
      <c r="F25" s="13" t="n">
        <f aca="false">E24*Inputs!$C$8</f>
        <v>1207.4614601863</v>
      </c>
      <c r="G25" s="13" t="n">
        <f aca="false">F24*Inputs!$C$8</f>
        <v>1183.53857387495</v>
      </c>
      <c r="H25" s="13" t="n">
        <f aca="false">G24*Inputs!$C$8</f>
        <v>1157.88367059465</v>
      </c>
      <c r="I25" s="13" t="n">
        <f aca="false">H24*Inputs!$C$8</f>
        <v>1130.37135231687</v>
      </c>
      <c r="J25" s="13" t="n">
        <f aca="false">I24*Inputs!$C$8</f>
        <v>1100.86714219577</v>
      </c>
      <c r="K25" s="13" t="n">
        <f aca="false">J24*Inputs!$C$8</f>
        <v>1069.2268272619</v>
      </c>
      <c r="L25" s="13" t="n">
        <f aca="false">K24*Inputs!$C$8</f>
        <v>1035.29575352683</v>
      </c>
      <c r="M25" s="13" t="n">
        <f aca="false">L24*Inputs!$C$8</f>
        <v>998.908070053327</v>
      </c>
      <c r="N25" s="13" t="n">
        <f aca="false">M24*Inputs!$C$8</f>
        <v>959.885918296348</v>
      </c>
      <c r="O25" s="13" t="n">
        <f aca="false">N24*Inputs!$C$8</f>
        <v>918.038562752164</v>
      </c>
      <c r="P25" s="13" t="n">
        <f aca="false">O24*Inputs!$C$8</f>
        <v>873.161458666581</v>
      </c>
      <c r="Q25" s="13" t="n">
        <f aca="false">P24*Inputs!$C$8</f>
        <v>825.035252245201</v>
      </c>
      <c r="R25" s="13" t="n">
        <f aca="false">Q24*Inputs!$C$8</f>
        <v>773.424708478914</v>
      </c>
      <c r="S25" s="13" t="n">
        <f aca="false">R24*Inputs!$C$8</f>
        <v>718.077561343947</v>
      </c>
      <c r="T25" s="13" t="n">
        <f aca="false">S24*Inputs!$C$8</f>
        <v>658.723280756409</v>
      </c>
      <c r="U25" s="13" t="n">
        <f aca="false">T24*Inputs!$C$8</f>
        <v>595.071750254333</v>
      </c>
      <c r="V25" s="13" t="n">
        <f aca="false">U24*Inputs!$C$8</f>
        <v>526.811848943907</v>
      </c>
      <c r="W25" s="13" t="n">
        <f aca="false">V24*Inputs!$C$8</f>
        <v>453.609930778606</v>
      </c>
      <c r="X25" s="13" t="n">
        <f aca="false">W24*Inputs!$C$8</f>
        <v>375.108193738138</v>
      </c>
      <c r="Y25" s="13" t="n">
        <f aca="false">X24*Inputs!$C$8</f>
        <v>290.922930935939</v>
      </c>
      <c r="Z25" s="13" t="n">
        <f aca="false">Y24*Inputs!$C$8</f>
        <v>200.642655106861</v>
      </c>
      <c r="AA25" s="13" t="n">
        <f aca="false">Z24*Inputs!$C$8</f>
        <v>103.826087307758</v>
      </c>
    </row>
    <row r="26" customFormat="false" ht="15" hidden="false" customHeight="false" outlineLevel="0" collapsed="false">
      <c r="A26" s="3" t="s">
        <v>35</v>
      </c>
      <c r="B26" s="13" t="n">
        <v>0</v>
      </c>
      <c r="C26" s="13" t="n">
        <f aca="false">-PMT(Inputs!$C$8,Inputs!$C$9,$B$24)-C25</f>
        <v>267.919666696683</v>
      </c>
      <c r="D26" s="13" t="n">
        <f aca="false">-PMT(Inputs!$C$8,Inputs!$C$9,$B$24)-D25</f>
        <v>287.317050565523</v>
      </c>
      <c r="E26" s="13" t="n">
        <f aca="false">-PMT(Inputs!$C$8,Inputs!$C$9,$B$24)-E25</f>
        <v>308.118805026467</v>
      </c>
      <c r="F26" s="13" t="n">
        <f aca="false">-PMT(Inputs!$C$8,Inputs!$C$9,$B$24)-F25</f>
        <v>330.426606510383</v>
      </c>
      <c r="G26" s="13" t="n">
        <f aca="false">-PMT(Inputs!$C$8,Inputs!$C$9,$B$24)-G25</f>
        <v>354.349492821735</v>
      </c>
      <c r="H26" s="13" t="n">
        <f aca="false">-PMT(Inputs!$C$8,Inputs!$C$9,$B$24)-H25</f>
        <v>380.004396102029</v>
      </c>
      <c r="I26" s="13" t="n">
        <f aca="false">-PMT(Inputs!$C$8,Inputs!$C$9,$B$24)-I25</f>
        <v>407.516714379816</v>
      </c>
      <c r="J26" s="13" t="n">
        <f aca="false">-PMT(Inputs!$C$8,Inputs!$C$9,$B$24)-J25</f>
        <v>437.020924500914</v>
      </c>
      <c r="K26" s="13" t="n">
        <f aca="false">-PMT(Inputs!$C$8,Inputs!$C$9,$B$24)-K25</f>
        <v>468.66123943478</v>
      </c>
      <c r="L26" s="13" t="n">
        <f aca="false">-PMT(Inputs!$C$8,Inputs!$C$9,$B$24)-L25</f>
        <v>502.592313169858</v>
      </c>
      <c r="M26" s="13" t="n">
        <f aca="false">-PMT(Inputs!$C$8,Inputs!$C$9,$B$24)-M25</f>
        <v>538.979996643356</v>
      </c>
      <c r="N26" s="13" t="n">
        <f aca="false">-PMT(Inputs!$C$8,Inputs!$C$9,$B$24)-N25</f>
        <v>578.002148400335</v>
      </c>
      <c r="O26" s="13" t="n">
        <f aca="false">-PMT(Inputs!$C$8,Inputs!$C$9,$B$24)-O25</f>
        <v>619.84950394452</v>
      </c>
      <c r="P26" s="13" t="n">
        <f aca="false">-PMT(Inputs!$C$8,Inputs!$C$9,$B$24)-P25</f>
        <v>664.726608030103</v>
      </c>
      <c r="Q26" s="13" t="n">
        <f aca="false">-PMT(Inputs!$C$8,Inputs!$C$9,$B$24)-Q25</f>
        <v>712.852814451482</v>
      </c>
      <c r="R26" s="13" t="n">
        <f aca="false">-PMT(Inputs!$C$8,Inputs!$C$9,$B$24)-R25</f>
        <v>764.463358217769</v>
      </c>
      <c r="S26" s="13" t="n">
        <f aca="false">-PMT(Inputs!$C$8,Inputs!$C$9,$B$24)-S25</f>
        <v>819.810505352736</v>
      </c>
      <c r="T26" s="13" t="n">
        <f aca="false">-PMT(Inputs!$C$8,Inputs!$C$9,$B$24)-T25</f>
        <v>879.164785940274</v>
      </c>
      <c r="U26" s="13" t="n">
        <f aca="false">-PMT(Inputs!$C$8,Inputs!$C$9,$B$24)-U25</f>
        <v>942.81631644235</v>
      </c>
      <c r="V26" s="13" t="n">
        <f aca="false">-PMT(Inputs!$C$8,Inputs!$C$9,$B$24)-V25</f>
        <v>1011.07621775278</v>
      </c>
      <c r="W26" s="13" t="n">
        <f aca="false">-PMT(Inputs!$C$8,Inputs!$C$9,$B$24)-W25</f>
        <v>1084.27813591808</v>
      </c>
      <c r="X26" s="13" t="n">
        <f aca="false">-PMT(Inputs!$C$8,Inputs!$C$9,$B$24)-X25</f>
        <v>1162.77987295855</v>
      </c>
      <c r="Y26" s="13" t="n">
        <f aca="false">-PMT(Inputs!$C$8,Inputs!$C$9,$B$24)-Y25</f>
        <v>1246.96513576074</v>
      </c>
      <c r="Z26" s="13" t="n">
        <f aca="false">-PMT(Inputs!$C$8,Inputs!$C$9,$B$24)-Z25</f>
        <v>1337.24541158982</v>
      </c>
      <c r="AA26" s="13" t="n">
        <f aca="false">-PMT(Inputs!$C$8,Inputs!$C$9,$B$24)-AA25</f>
        <v>1434.06197938893</v>
      </c>
    </row>
    <row r="27" customFormat="false" ht="15" hidden="false" customHeight="false" outlineLevel="0" collapsed="false">
      <c r="A27" s="3" t="s">
        <v>36</v>
      </c>
      <c r="B27" s="13" t="n">
        <v>0</v>
      </c>
      <c r="C27" s="13" t="n">
        <f aca="false">C25+C26</f>
        <v>1537.88806669668</v>
      </c>
      <c r="D27" s="13" t="n">
        <f aca="false">D25+D26</f>
        <v>1537.88806669668</v>
      </c>
      <c r="E27" s="13" t="n">
        <f aca="false">E25+E26</f>
        <v>1537.88806669668</v>
      </c>
      <c r="F27" s="13" t="n">
        <f aca="false">F25+F26</f>
        <v>1537.88806669668</v>
      </c>
      <c r="G27" s="13" t="n">
        <f aca="false">G25+G26</f>
        <v>1537.88806669668</v>
      </c>
      <c r="H27" s="13" t="n">
        <f aca="false">H25+H26</f>
        <v>1537.88806669668</v>
      </c>
      <c r="I27" s="13" t="n">
        <f aca="false">I25+I26</f>
        <v>1537.88806669668</v>
      </c>
      <c r="J27" s="13" t="n">
        <f aca="false">J25+J26</f>
        <v>1537.88806669668</v>
      </c>
      <c r="K27" s="13" t="n">
        <f aca="false">K25+K26</f>
        <v>1537.88806669668</v>
      </c>
      <c r="L27" s="13" t="n">
        <f aca="false">L25+L26</f>
        <v>1537.88806669668</v>
      </c>
      <c r="M27" s="13" t="n">
        <f aca="false">M25+M26</f>
        <v>1537.88806669668</v>
      </c>
      <c r="N27" s="13" t="n">
        <f aca="false">N25+N26</f>
        <v>1537.88806669668</v>
      </c>
      <c r="O27" s="13" t="n">
        <f aca="false">O25+O26</f>
        <v>1537.88806669668</v>
      </c>
      <c r="P27" s="13" t="n">
        <f aca="false">P25+P26</f>
        <v>1537.88806669668</v>
      </c>
      <c r="Q27" s="13" t="n">
        <f aca="false">Q25+Q26</f>
        <v>1537.88806669668</v>
      </c>
      <c r="R27" s="13" t="n">
        <f aca="false">R25+R26</f>
        <v>1537.88806669668</v>
      </c>
      <c r="S27" s="13" t="n">
        <f aca="false">S25+S26</f>
        <v>1537.88806669668</v>
      </c>
      <c r="T27" s="13" t="n">
        <f aca="false">T25+T26</f>
        <v>1537.88806669668</v>
      </c>
      <c r="U27" s="13" t="n">
        <f aca="false">U25+U26</f>
        <v>1537.88806669668</v>
      </c>
      <c r="V27" s="13" t="n">
        <f aca="false">V25+V26</f>
        <v>1537.88806669668</v>
      </c>
      <c r="W27" s="13" t="n">
        <f aca="false">W25+W26</f>
        <v>1537.88806669668</v>
      </c>
      <c r="X27" s="13" t="n">
        <f aca="false">X25+X26</f>
        <v>1537.88806669668</v>
      </c>
      <c r="Y27" s="13" t="n">
        <f aca="false">Y25+Y26</f>
        <v>1537.88806669668</v>
      </c>
      <c r="Z27" s="13" t="n">
        <f aca="false">Z25+Z26</f>
        <v>1537.88806669668</v>
      </c>
      <c r="AA27" s="13" t="n">
        <f aca="false">AA25+AA26</f>
        <v>1537.88806669668</v>
      </c>
    </row>
    <row r="28" customFormat="false" ht="15" hidden="false" customHeight="false" outlineLevel="0" collapsed="false">
      <c r="A28" s="3" t="s">
        <v>37</v>
      </c>
      <c r="B28" s="13" t="n">
        <v>0</v>
      </c>
      <c r="C28" s="12" t="n">
        <v>1472.6</v>
      </c>
      <c r="D28" s="13" t="n">
        <f aca="false">C28*(1+Inputs!$C$11)</f>
        <v>1509.415</v>
      </c>
      <c r="E28" s="13" t="n">
        <f aca="false">D28*(1+Inputs!$C$11)</f>
        <v>1547.150375</v>
      </c>
      <c r="F28" s="13" t="n">
        <f aca="false">E28*(1+Inputs!$C$11)</f>
        <v>1585.829134375</v>
      </c>
      <c r="G28" s="13" t="n">
        <f aca="false">F28*(1+Inputs!$C$11)</f>
        <v>1625.47486273437</v>
      </c>
      <c r="H28" s="13" t="n">
        <f aca="false">G28*(1+Inputs!$C$11)</f>
        <v>1666.11173430273</v>
      </c>
      <c r="I28" s="13" t="n">
        <f aca="false">H28*(1+Inputs!$C$11)</f>
        <v>1707.7645276603</v>
      </c>
      <c r="J28" s="13" t="n">
        <f aca="false">I28*(1+Inputs!$C$11)</f>
        <v>1750.45864085181</v>
      </c>
      <c r="K28" s="13" t="n">
        <f aca="false">J28*(1+Inputs!$C$11)</f>
        <v>1794.2201068731</v>
      </c>
      <c r="L28" s="13" t="n">
        <f aca="false">K28*(1+Inputs!$C$11)</f>
        <v>1839.07560954493</v>
      </c>
      <c r="M28" s="13" t="n">
        <f aca="false">L28*(1+Inputs!$C$11)</f>
        <v>1885.05249978355</v>
      </c>
      <c r="N28" s="13" t="n">
        <f aca="false">M28*(1+Inputs!$C$11)</f>
        <v>1932.17881227814</v>
      </c>
      <c r="O28" s="13" t="n">
        <f aca="false">N28*(1+Inputs!$C$11)</f>
        <v>1980.4832825851</v>
      </c>
      <c r="P28" s="13" t="n">
        <f aca="false">O28*(1+Inputs!$C$11)</f>
        <v>2029.99536464972</v>
      </c>
      <c r="Q28" s="13" t="n">
        <f aca="false">P28*(1+Inputs!$C$11)</f>
        <v>2080.74524876597</v>
      </c>
      <c r="R28" s="13" t="n">
        <f aca="false">Q28*(1+Inputs!$C$11)</f>
        <v>2132.76387998512</v>
      </c>
      <c r="S28" s="13" t="n">
        <f aca="false">R28*(1+Inputs!$C$11)</f>
        <v>2186.08297698474</v>
      </c>
      <c r="T28" s="13" t="n">
        <f aca="false">S28*(1+Inputs!$C$11)</f>
        <v>2240.73505140936</v>
      </c>
      <c r="U28" s="13" t="n">
        <f aca="false">T28*(1+Inputs!$C$11)</f>
        <v>2296.7534276946</v>
      </c>
      <c r="V28" s="13" t="n">
        <f aca="false">U28*(1+Inputs!$C$11)</f>
        <v>2354.17226338696</v>
      </c>
      <c r="W28" s="13" t="n">
        <f aca="false">V28*(1+Inputs!$C$11)</f>
        <v>2413.02656997163</v>
      </c>
      <c r="X28" s="13" t="n">
        <f aca="false">W28*(1+Inputs!$C$11)</f>
        <v>2473.35223422093</v>
      </c>
      <c r="Y28" s="13" t="n">
        <f aca="false">X28*(1+Inputs!$C$11)</f>
        <v>2535.18604007645</v>
      </c>
      <c r="Z28" s="13" t="n">
        <f aca="false">Y28*(1+Inputs!$C$11)</f>
        <v>2598.56569107836</v>
      </c>
      <c r="AA28" s="13" t="n">
        <f aca="false">Z28*(1+Inputs!$C$11)</f>
        <v>2663.52983335532</v>
      </c>
    </row>
    <row r="29" customFormat="false" ht="15" hidden="false" customHeight="false" outlineLevel="0" collapsed="false">
      <c r="A29" s="3" t="s">
        <v>38</v>
      </c>
      <c r="B29" s="13" t="n">
        <v>0</v>
      </c>
      <c r="C29" s="12" t="n">
        <v>955.55</v>
      </c>
      <c r="D29" s="13" t="n">
        <f aca="false">D28-517.05*(1+Inputs!$C$11)^(2-1)</f>
        <v>979.43875</v>
      </c>
      <c r="E29" s="13" t="n">
        <f aca="false">E28-517.05*(1+Inputs!$C$11)^(3-1)</f>
        <v>1003.92471875</v>
      </c>
      <c r="F29" s="13" t="n">
        <f aca="false">F28-517.05*(1+Inputs!$C$11)^(4-1)</f>
        <v>1029.02283671875</v>
      </c>
      <c r="G29" s="13" t="n">
        <f aca="false">G28-517.05*(1+Inputs!$C$11)^(5-1)</f>
        <v>1054.74840763672</v>
      </c>
      <c r="H29" s="13" t="n">
        <f aca="false">H28-517.05*(1+Inputs!$C$11)^(6-1)</f>
        <v>1081.11711782764</v>
      </c>
      <c r="I29" s="13" t="n">
        <f aca="false">I28-517.05*(1+Inputs!$C$11)^(7-1)</f>
        <v>1108.14504577333</v>
      </c>
      <c r="J29" s="13" t="n">
        <f aca="false">J28-517.05*(1+Inputs!$C$11)^(8-1)</f>
        <v>1135.84867191766</v>
      </c>
      <c r="K29" s="13" t="n">
        <f aca="false">K28-517.05*(1+Inputs!$C$11)^(9-1)</f>
        <v>1164.2448887156</v>
      </c>
      <c r="L29" s="13" t="n">
        <f aca="false">L28-517.05*(1+Inputs!$C$11)^(10-1)</f>
        <v>1193.35101093349</v>
      </c>
      <c r="M29" s="13" t="n">
        <f aca="false">M28-517.05*(1+Inputs!$C$11)^(11-1)</f>
        <v>1223.18478620683</v>
      </c>
      <c r="N29" s="13" t="n">
        <f aca="false">N28-517.05*(1+Inputs!$C$11)^(12-1)</f>
        <v>1253.764405862</v>
      </c>
      <c r="O29" s="13" t="n">
        <f aca="false">O28-517.05*(1+Inputs!$C$11)^(13-1)</f>
        <v>1285.10851600855</v>
      </c>
      <c r="P29" s="13" t="n">
        <f aca="false">P28-517.05*(1+Inputs!$C$11)^(14-1)</f>
        <v>1317.23622890876</v>
      </c>
      <c r="Q29" s="13" t="n">
        <f aca="false">Q28-517.05*(1+Inputs!$C$11)^(15-1)</f>
        <v>1350.16713463148</v>
      </c>
      <c r="R29" s="13" t="n">
        <f aca="false">R28-517.05*(1+Inputs!$C$11)^(16-1)</f>
        <v>1383.92131299727</v>
      </c>
      <c r="S29" s="13" t="n">
        <f aca="false">S28-517.05*(1+Inputs!$C$11)^(17-1)</f>
        <v>1418.5193458222</v>
      </c>
      <c r="T29" s="13" t="n">
        <f aca="false">T28-517.05*(1+Inputs!$C$11)^(18-1)</f>
        <v>1453.98232946776</v>
      </c>
      <c r="U29" s="13" t="n">
        <f aca="false">U28-517.05*(1+Inputs!$C$11)^(19-1)</f>
        <v>1490.33188770445</v>
      </c>
      <c r="V29" s="13" t="n">
        <f aca="false">V28-517.05*(1+Inputs!$C$11)^(20-1)</f>
        <v>1527.59018489706</v>
      </c>
      <c r="W29" s="13" t="n">
        <f aca="false">W28-517.05*(1+Inputs!$C$11)^(21-1)</f>
        <v>1565.77993951949</v>
      </c>
      <c r="X29" s="13" t="n">
        <f aca="false">X28-517.05*(1+Inputs!$C$11)^(22-1)</f>
        <v>1604.92443800747</v>
      </c>
      <c r="Y29" s="13" t="n">
        <f aca="false">Y28-517.05*(1+Inputs!$C$11)^(23-1)</f>
        <v>1645.04754895766</v>
      </c>
      <c r="Z29" s="13" t="n">
        <f aca="false">Z28-517.05*(1+Inputs!$C$11)^(24-1)</f>
        <v>1686.1737376816</v>
      </c>
      <c r="AA29" s="13" t="n">
        <f aca="false">AA28-517.05*(1+Inputs!$C$11)^(25-1)</f>
        <v>1728.32808112364</v>
      </c>
    </row>
    <row r="30" customFormat="false" ht="15" hidden="false" customHeight="false" outlineLevel="0" collapsed="false">
      <c r="A30" s="3" t="s">
        <v>39</v>
      </c>
      <c r="B30" s="13" t="n">
        <v>0</v>
      </c>
      <c r="C30" s="13" t="n">
        <f aca="false">C28-C29</f>
        <v>517.05</v>
      </c>
      <c r="D30" s="13" t="n">
        <f aca="false">D28-D29</f>
        <v>529.97625</v>
      </c>
      <c r="E30" s="13" t="n">
        <f aca="false">E28-E29</f>
        <v>543.22565625</v>
      </c>
      <c r="F30" s="13" t="n">
        <f aca="false">F28-F29</f>
        <v>556.80629765625</v>
      </c>
      <c r="G30" s="13" t="n">
        <f aca="false">G28-G29</f>
        <v>570.726455097656</v>
      </c>
      <c r="H30" s="13" t="n">
        <f aca="false">H28-H29</f>
        <v>584.994616475098</v>
      </c>
      <c r="I30" s="13" t="n">
        <f aca="false">I28-I29</f>
        <v>599.619481886975</v>
      </c>
      <c r="J30" s="13" t="n">
        <f aca="false">J28-J29</f>
        <v>614.609968934149</v>
      </c>
      <c r="K30" s="13" t="n">
        <f aca="false">K28-K29</f>
        <v>629.975218157503</v>
      </c>
      <c r="L30" s="13" t="n">
        <f aca="false">L28-L29</f>
        <v>645.72459861144</v>
      </c>
      <c r="M30" s="13" t="n">
        <f aca="false">M28-M29</f>
        <v>661.867713576726</v>
      </c>
      <c r="N30" s="13" t="n">
        <f aca="false">N28-N29</f>
        <v>678.414406416144</v>
      </c>
      <c r="O30" s="13" t="n">
        <f aca="false">O28-O29</f>
        <v>695.374766576548</v>
      </c>
      <c r="P30" s="13" t="n">
        <f aca="false">P28-P29</f>
        <v>712.759135740961</v>
      </c>
      <c r="Q30" s="13" t="n">
        <f aca="false">Q28-Q29</f>
        <v>730.578114134486</v>
      </c>
      <c r="R30" s="13" t="n">
        <f aca="false">R28-R29</f>
        <v>748.842566987848</v>
      </c>
      <c r="S30" s="13" t="n">
        <f aca="false">S28-S29</f>
        <v>767.563631162544</v>
      </c>
      <c r="T30" s="13" t="n">
        <f aca="false">T28-T29</f>
        <v>786.752721941607</v>
      </c>
      <c r="U30" s="13" t="n">
        <f aca="false">U28-U29</f>
        <v>806.421539990147</v>
      </c>
      <c r="V30" s="13" t="n">
        <f aca="false">V28-V29</f>
        <v>826.582078489901</v>
      </c>
      <c r="W30" s="13" t="n">
        <f aca="false">W28-W29</f>
        <v>847.246630452148</v>
      </c>
      <c r="X30" s="13" t="n">
        <f aca="false">X28-X29</f>
        <v>868.427796213452</v>
      </c>
      <c r="Y30" s="13" t="n">
        <f aca="false">Y28-Y29</f>
        <v>890.138491118788</v>
      </c>
      <c r="Z30" s="13" t="n">
        <f aca="false">Z28-Z29</f>
        <v>912.391953396758</v>
      </c>
      <c r="AA30" s="13" t="n">
        <f aca="false">AA28-AA29</f>
        <v>935.201752231676</v>
      </c>
    </row>
    <row r="31" customFormat="false" ht="15" hidden="false" customHeight="false" outlineLevel="0" collapsed="false">
      <c r="A31" s="3" t="s">
        <v>40</v>
      </c>
      <c r="B31" s="13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</row>
    <row r="32" customFormat="false" ht="15" hidden="false" customHeight="false" outlineLevel="0" collapsed="false">
      <c r="A32" s="3" t="s">
        <v>41</v>
      </c>
      <c r="B32" s="13" t="n">
        <v>0</v>
      </c>
      <c r="C32" s="13" t="n">
        <f aca="false">C30+C31</f>
        <v>517.05</v>
      </c>
      <c r="D32" s="13" t="n">
        <f aca="false">D30+D31</f>
        <v>529.97625</v>
      </c>
      <c r="E32" s="13" t="n">
        <f aca="false">E30+E31</f>
        <v>543.22565625</v>
      </c>
      <c r="F32" s="13" t="n">
        <f aca="false">F30+F31</f>
        <v>556.80629765625</v>
      </c>
      <c r="G32" s="13" t="n">
        <f aca="false">G30+G31</f>
        <v>570.726455097656</v>
      </c>
      <c r="H32" s="13" t="n">
        <f aca="false">H30+H31</f>
        <v>584.994616475098</v>
      </c>
      <c r="I32" s="13" t="n">
        <f aca="false">I30+I31</f>
        <v>599.619481886975</v>
      </c>
      <c r="J32" s="13" t="n">
        <f aca="false">J30+J31</f>
        <v>614.609968934149</v>
      </c>
      <c r="K32" s="13" t="n">
        <f aca="false">K30+K31</f>
        <v>629.975218157503</v>
      </c>
      <c r="L32" s="13" t="n">
        <f aca="false">L30+L31</f>
        <v>645.72459861144</v>
      </c>
      <c r="M32" s="13" t="n">
        <f aca="false">M30+M31</f>
        <v>661.867713576726</v>
      </c>
      <c r="N32" s="13" t="n">
        <f aca="false">N30+N31</f>
        <v>678.414406416144</v>
      </c>
      <c r="O32" s="13" t="n">
        <f aca="false">O30+O31</f>
        <v>695.374766576548</v>
      </c>
      <c r="P32" s="13" t="n">
        <f aca="false">P30+P31</f>
        <v>712.759135740961</v>
      </c>
      <c r="Q32" s="13" t="n">
        <f aca="false">Q30+Q31</f>
        <v>730.578114134486</v>
      </c>
      <c r="R32" s="13" t="n">
        <f aca="false">R30+R31</f>
        <v>748.842566987848</v>
      </c>
      <c r="S32" s="13" t="n">
        <f aca="false">S30+S31</f>
        <v>767.563631162544</v>
      </c>
      <c r="T32" s="13" t="n">
        <f aca="false">T30+T31</f>
        <v>786.752721941607</v>
      </c>
      <c r="U32" s="13" t="n">
        <f aca="false">U30+U31</f>
        <v>806.421539990147</v>
      </c>
      <c r="V32" s="13" t="n">
        <f aca="false">V30+V31</f>
        <v>826.582078489901</v>
      </c>
      <c r="W32" s="13" t="n">
        <f aca="false">W30+W31</f>
        <v>847.246630452148</v>
      </c>
      <c r="X32" s="13" t="n">
        <f aca="false">X30+X31</f>
        <v>868.427796213452</v>
      </c>
      <c r="Y32" s="13" t="n">
        <f aca="false">Y30+Y31</f>
        <v>890.138491118788</v>
      </c>
      <c r="Z32" s="13" t="n">
        <f aca="false">Z30+Z31</f>
        <v>912.391953396758</v>
      </c>
      <c r="AA32" s="13" t="n">
        <f aca="false">AA30+AA31</f>
        <v>935.201752231676</v>
      </c>
    </row>
    <row r="33" customFormat="false" ht="15" hidden="false" customHeight="false" outlineLevel="0" collapsed="false">
      <c r="A33" s="3" t="s">
        <v>42</v>
      </c>
      <c r="B33" s="13" t="n">
        <v>0</v>
      </c>
      <c r="C33" s="13" t="n">
        <f aca="false">C32-C27</f>
        <v>-1020.83806669668</v>
      </c>
      <c r="D33" s="13" t="n">
        <f aca="false">D32-D27</f>
        <v>-1007.91181669668</v>
      </c>
      <c r="E33" s="13" t="n">
        <f aca="false">E32-E27</f>
        <v>-994.662410446684</v>
      </c>
      <c r="F33" s="13" t="n">
        <f aca="false">F32-F27</f>
        <v>-981.081769040434</v>
      </c>
      <c r="G33" s="13" t="n">
        <f aca="false">G32-G27</f>
        <v>-967.161611599028</v>
      </c>
      <c r="H33" s="13" t="n">
        <f aca="false">H32-H27</f>
        <v>-952.893450221586</v>
      </c>
      <c r="I33" s="13" t="n">
        <f aca="false">I32-I27</f>
        <v>-938.268584809709</v>
      </c>
      <c r="J33" s="13" t="n">
        <f aca="false">J32-J27</f>
        <v>-923.278097762534</v>
      </c>
      <c r="K33" s="13" t="n">
        <f aca="false">K32-K27</f>
        <v>-907.912848539181</v>
      </c>
      <c r="L33" s="13" t="n">
        <f aca="false">L32-L27</f>
        <v>-892.163468085243</v>
      </c>
      <c r="M33" s="13" t="n">
        <f aca="false">M32-M27</f>
        <v>-876.020353119957</v>
      </c>
      <c r="N33" s="13" t="n">
        <f aca="false">N32-N27</f>
        <v>-859.473660280539</v>
      </c>
      <c r="O33" s="13" t="n">
        <f aca="false">O32-O27</f>
        <v>-842.513300120136</v>
      </c>
      <c r="P33" s="13" t="n">
        <f aca="false">P32-P27</f>
        <v>-825.128930955722</v>
      </c>
      <c r="Q33" s="13" t="n">
        <f aca="false">Q32-Q27</f>
        <v>-807.309952562198</v>
      </c>
      <c r="R33" s="13" t="n">
        <f aca="false">R32-R27</f>
        <v>-789.045499708836</v>
      </c>
      <c r="S33" s="13" t="n">
        <f aca="false">S32-S27</f>
        <v>-770.32443553414</v>
      </c>
      <c r="T33" s="13" t="n">
        <f aca="false">T32-T27</f>
        <v>-751.135344755076</v>
      </c>
      <c r="U33" s="13" t="n">
        <f aca="false">U32-U27</f>
        <v>-731.466526706536</v>
      </c>
      <c r="V33" s="13" t="n">
        <f aca="false">V32-V27</f>
        <v>-711.305988206783</v>
      </c>
      <c r="W33" s="13" t="n">
        <f aca="false">W32-W27</f>
        <v>-690.641436244535</v>
      </c>
      <c r="X33" s="13" t="n">
        <f aca="false">X32-X27</f>
        <v>-669.460270483231</v>
      </c>
      <c r="Y33" s="13" t="n">
        <f aca="false">Y32-Y27</f>
        <v>-647.749575577895</v>
      </c>
      <c r="Z33" s="13" t="n">
        <f aca="false">Z32-Z27</f>
        <v>-625.496113299926</v>
      </c>
      <c r="AA33" s="13" t="n">
        <f aca="false">AA32-AA27</f>
        <v>-602.686314465007</v>
      </c>
    </row>
    <row r="34" customFormat="false" ht="15" hidden="false" customHeight="false" outlineLevel="0" collapsed="false">
      <c r="A34" s="3" t="s">
        <v>43</v>
      </c>
      <c r="B34" s="13" t="n">
        <v>0</v>
      </c>
      <c r="C34" s="13" t="n">
        <f aca="false">C33/(1+Inputs!$C$10)^1</f>
        <v>-959.434273211169</v>
      </c>
      <c r="D34" s="13" t="n">
        <f aca="false">C34+D33/(1+Inputs!$C$10)^2</f>
        <v>-1849.74023374515</v>
      </c>
      <c r="E34" s="13" t="n">
        <f aca="false">D34+E33/(1+Inputs!$C$10)^3</f>
        <v>-2675.49449179843</v>
      </c>
      <c r="F34" s="13" t="n">
        <f aca="false">E34+F33/(1+Inputs!$C$10)^4</f>
        <v>-3440.98303239414</v>
      </c>
      <c r="G34" s="13" t="n">
        <f aca="false">F34+G33/(1+Inputs!$C$10)^5</f>
        <v>-4150.21925888282</v>
      </c>
      <c r="H34" s="13" t="n">
        <f aca="false">G34+H33/(1+Inputs!$C$10)^6</f>
        <v>-4806.96093050951</v>
      </c>
      <c r="I34" s="13" t="n">
        <f aca="false">H34+I33/(1+Inputs!$C$10)^7</f>
        <v>-5414.72606132525</v>
      </c>
      <c r="J34" s="13" t="n">
        <f aca="false">I34+J33/(1+Inputs!$C$10)^8</f>
        <v>-5976.80784364604</v>
      </c>
      <c r="K34" s="13" t="n">
        <f aca="false">J34+K33/(1+Inputs!$C$10)^9</f>
        <v>-6496.2886554343</v>
      </c>
      <c r="L34" s="13" t="n">
        <f aca="false">K34+L33/(1+Inputs!$C$10)^10</f>
        <v>-6976.05320738058</v>
      </c>
      <c r="M34" s="13" t="n">
        <f aca="false">L34+M33/(1+Inputs!$C$10)^11</f>
        <v>-7418.8008820835</v>
      </c>
      <c r="N34" s="13" t="n">
        <f aca="false">M34+N33/(1+Inputs!$C$10)^12</f>
        <v>-7827.05731455035</v>
      </c>
      <c r="O34" s="13" t="n">
        <f aca="false">N34+O33/(1+Inputs!$C$10)^13</f>
        <v>-8203.18526025687</v>
      </c>
      <c r="P34" s="13" t="n">
        <f aca="false">O34+P33/(1+Inputs!$C$10)^14</f>
        <v>-8549.39479420166</v>
      </c>
      <c r="Q34" s="13" t="n">
        <f aca="false">P34+Q33/(1+Inputs!$C$10)^15</f>
        <v>-8867.75288175629</v>
      </c>
      <c r="R34" s="13" t="n">
        <f aca="false">Q34+R33/(1+Inputs!$C$10)^16</f>
        <v>-9160.19235963785</v>
      </c>
      <c r="S34" s="13" t="n">
        <f aca="false">R34+S33/(1+Inputs!$C$10)^17</f>
        <v>-9428.52036300516</v>
      </c>
      <c r="T34" s="13" t="n">
        <f aca="false">S34+T33/(1+Inputs!$C$10)^18</f>
        <v>-9674.42623249556</v>
      </c>
      <c r="U34" s="13" t="n">
        <f aca="false">T34+U33/(1+Inputs!$C$10)^19</f>
        <v>-9899.48893296665</v>
      </c>
      <c r="V34" s="13" t="n">
        <f aca="false">U34+V33/(1+Inputs!$C$10)^20</f>
        <v>-10105.184013779</v>
      </c>
      <c r="W34" s="13" t="n">
        <f aca="false">V34+W33/(1+Inputs!$C$10)^21</f>
        <v>-10292.8901386443</v>
      </c>
      <c r="X34" s="13" t="n">
        <f aca="false">W34+X33/(1+Inputs!$C$10)^22</f>
        <v>-10463.8952113607</v>
      </c>
      <c r="Y34" s="13" t="n">
        <f aca="false">X34+Y33/(1+Inputs!$C$10)^23</f>
        <v>-10619.4021221598</v>
      </c>
      <c r="Z34" s="13" t="n">
        <f aca="false">Y34+Z33/(1+Inputs!$C$10)^24</f>
        <v>-10760.534137884</v>
      </c>
      <c r="AA34" s="13" t="n">
        <f aca="false">Z34+AA33/(1+Inputs!$C$10)^25</f>
        <v>-10888.3399578059</v>
      </c>
    </row>
    <row r="35" customFormat="false" ht="15" hidden="false" customHeight="false" outlineLevel="0" collapsed="false">
      <c r="A35" s="14" t="s">
        <v>44</v>
      </c>
      <c r="B35" s="15" t="n">
        <f aca="false">IF((C30+C31)&gt;0,B24/(C30+C31),"N/A")</f>
        <v>33.9251523063534</v>
      </c>
    </row>
    <row r="39" customFormat="false" ht="15" hidden="false" customHeight="false" outlineLevel="0" collapsed="false">
      <c r="A39" s="10" t="s">
        <v>46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customFormat="false" ht="15" hidden="false" customHeight="false" outlineLevel="0" collapsed="false">
      <c r="A40" s="2" t="s">
        <v>32</v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 customFormat="false" ht="15" hidden="false" customHeight="false" outlineLevel="0" collapsed="false">
      <c r="A41" s="3" t="s">
        <v>33</v>
      </c>
      <c r="B41" s="12" t="n">
        <v>26453</v>
      </c>
      <c r="C41" s="13" t="n">
        <f aca="false">B41-C43</f>
        <v>26048.9592415981</v>
      </c>
      <c r="D41" s="13" t="n">
        <f aca="false">C41-D43</f>
        <v>25615.6659322879</v>
      </c>
      <c r="E41" s="13" t="n">
        <f aca="false">D41-E43</f>
        <v>25151.0021873837</v>
      </c>
      <c r="F41" s="13" t="n">
        <f aca="false">E41-F43</f>
        <v>24652.6967873484</v>
      </c>
      <c r="G41" s="13" t="n">
        <f aca="false">F41-G43</f>
        <v>24118.3140763506</v>
      </c>
      <c r="H41" s="13" t="n">
        <f aca="false">G41-H43</f>
        <v>23545.2420570765</v>
      </c>
      <c r="I41" s="13" t="n">
        <f aca="false">H41-I43</f>
        <v>22930.6796236069</v>
      </c>
      <c r="J41" s="13" t="n">
        <f aca="false">I41-J43</f>
        <v>22271.6228699542</v>
      </c>
      <c r="K41" s="13" t="n">
        <f aca="false">J41-K43</f>
        <v>21564.850407337</v>
      </c>
      <c r="L41" s="13" t="n">
        <f aca="false">K41-L43</f>
        <v>20806.9076184263</v>
      </c>
      <c r="M41" s="13" t="n">
        <f aca="false">L41-M43</f>
        <v>19994.0897715985</v>
      </c>
      <c r="N41" s="13" t="n">
        <f aca="false">M41-N43</f>
        <v>19122.4239126603</v>
      </c>
      <c r="O41" s="13" t="n">
        <f aca="false">N41-O43</f>
        <v>18187.6494455351</v>
      </c>
      <c r="P41" s="13" t="n">
        <f aca="false">O41-P43</f>
        <v>17185.1973069899</v>
      </c>
      <c r="Q41" s="13" t="n">
        <f aca="false">P41-Q43</f>
        <v>16110.1676336141</v>
      </c>
      <c r="R41" s="13" t="n">
        <f aca="false">Q41-R43</f>
        <v>14957.3058118859</v>
      </c>
      <c r="S41" s="13" t="n">
        <f aca="false">R41-S43</f>
        <v>13720.9767942646</v>
      </c>
      <c r="T41" s="13" t="n">
        <f aca="false">S41-T43</f>
        <v>12395.1375557674</v>
      </c>
      <c r="U41" s="13" t="n">
        <f aca="false">T41-U43</f>
        <v>10973.3075564031</v>
      </c>
      <c r="V41" s="13" t="n">
        <f aca="false">U41-V43</f>
        <v>9448.53706508483</v>
      </c>
      <c r="W41" s="13" t="n">
        <f aca="false">V41-W43</f>
        <v>7813.37319019509</v>
      </c>
      <c r="X41" s="13" t="n">
        <f aca="false">W41-X43</f>
        <v>6059.82345076334</v>
      </c>
      <c r="Y41" s="13" t="n">
        <f aca="false">X41-Y43</f>
        <v>4179.31671019673</v>
      </c>
      <c r="Z41" s="13" t="n">
        <f aca="false">Y41-Z43</f>
        <v>2162.66128161309</v>
      </c>
      <c r="AA41" s="13" t="n">
        <f aca="false">Z41-AA43</f>
        <v>0</v>
      </c>
    </row>
    <row r="42" customFormat="false" ht="15" hidden="false" customHeight="false" outlineLevel="0" collapsed="false">
      <c r="A42" s="3" t="s">
        <v>34</v>
      </c>
      <c r="B42" s="13" t="n">
        <v>0</v>
      </c>
      <c r="C42" s="13" t="n">
        <f aca="false">B41*Inputs!$C$8</f>
        <v>1915.1972</v>
      </c>
      <c r="D42" s="13" t="n">
        <f aca="false">C41*Inputs!$C$8</f>
        <v>1885.9446490917</v>
      </c>
      <c r="E42" s="13" t="n">
        <f aca="false">D41*Inputs!$C$8</f>
        <v>1854.57421349765</v>
      </c>
      <c r="F42" s="13" t="n">
        <f aca="false">E41*Inputs!$C$8</f>
        <v>1820.93255836658</v>
      </c>
      <c r="G42" s="13" t="n">
        <f aca="false">F41*Inputs!$C$8</f>
        <v>1784.85524740403</v>
      </c>
      <c r="H42" s="13" t="n">
        <f aca="false">G41*Inputs!$C$8</f>
        <v>1746.16593912778</v>
      </c>
      <c r="I42" s="13" t="n">
        <f aca="false">H41*Inputs!$C$8</f>
        <v>1704.67552493234</v>
      </c>
      <c r="J42" s="13" t="n">
        <f aca="false">I41*Inputs!$C$8</f>
        <v>1660.18120474914</v>
      </c>
      <c r="K42" s="13" t="n">
        <f aca="false">J41*Inputs!$C$8</f>
        <v>1612.46549578468</v>
      </c>
      <c r="L42" s="13" t="n">
        <f aca="false">K41*Inputs!$C$8</f>
        <v>1561.2951694912</v>
      </c>
      <c r="M42" s="13" t="n">
        <f aca="false">L41*Inputs!$C$8</f>
        <v>1506.42011157406</v>
      </c>
      <c r="N42" s="13" t="n">
        <f aca="false">M41*Inputs!$C$8</f>
        <v>1447.57209946373</v>
      </c>
      <c r="O42" s="13" t="n">
        <f aca="false">N41*Inputs!$C$8</f>
        <v>1384.46349127661</v>
      </c>
      <c r="P42" s="13" t="n">
        <f aca="false">O41*Inputs!$C$8</f>
        <v>1316.78581985674</v>
      </c>
      <c r="Q42" s="13" t="n">
        <f aca="false">P41*Inputs!$C$8</f>
        <v>1244.20828502607</v>
      </c>
      <c r="R42" s="13" t="n">
        <f aca="false">Q41*Inputs!$C$8</f>
        <v>1166.37613667366</v>
      </c>
      <c r="S42" s="13" t="n">
        <f aca="false">R41*Inputs!$C$8</f>
        <v>1082.90894078054</v>
      </c>
      <c r="T42" s="13" t="n">
        <f aca="false">S41*Inputs!$C$8</f>
        <v>993.398719904755</v>
      </c>
      <c r="U42" s="13" t="n">
        <f aca="false">T41*Inputs!$C$8</f>
        <v>897.407959037563</v>
      </c>
      <c r="V42" s="13" t="n">
        <f aca="false">U41*Inputs!$C$8</f>
        <v>794.467467083586</v>
      </c>
      <c r="W42" s="13" t="n">
        <f aca="false">V41*Inputs!$C$8</f>
        <v>684.074083512142</v>
      </c>
      <c r="X42" s="13" t="n">
        <f aca="false">W41*Inputs!$C$8</f>
        <v>565.688218970125</v>
      </c>
      <c r="Y42" s="13" t="n">
        <f aca="false">X41*Inputs!$C$8</f>
        <v>438.731217835266</v>
      </c>
      <c r="Z42" s="13" t="n">
        <f aca="false">Y41*Inputs!$C$8</f>
        <v>302.582529818243</v>
      </c>
      <c r="AA42" s="13" t="n">
        <f aca="false">Z41*Inputs!$C$8</f>
        <v>156.576676788788</v>
      </c>
    </row>
    <row r="43" customFormat="false" ht="15" hidden="false" customHeight="false" outlineLevel="0" collapsed="false">
      <c r="A43" s="3" t="s">
        <v>35</v>
      </c>
      <c r="B43" s="13" t="n">
        <v>0</v>
      </c>
      <c r="C43" s="13" t="n">
        <f aca="false">-PMT(Inputs!$C$8,Inputs!$C$9,$B$41)-C42</f>
        <v>404.040758401879</v>
      </c>
      <c r="D43" s="13" t="n">
        <f aca="false">-PMT(Inputs!$C$8,Inputs!$C$9,$B$41)-D42</f>
        <v>433.293309310175</v>
      </c>
      <c r="E43" s="13" t="n">
        <f aca="false">-PMT(Inputs!$C$8,Inputs!$C$9,$B$41)-E42</f>
        <v>464.663744904232</v>
      </c>
      <c r="F43" s="13" t="n">
        <f aca="false">-PMT(Inputs!$C$8,Inputs!$C$9,$B$41)-F42</f>
        <v>498.305400035298</v>
      </c>
      <c r="G43" s="13" t="n">
        <f aca="false">-PMT(Inputs!$C$8,Inputs!$C$9,$B$41)-G42</f>
        <v>534.382710997854</v>
      </c>
      <c r="H43" s="13" t="n">
        <f aca="false">-PMT(Inputs!$C$8,Inputs!$C$9,$B$41)-H42</f>
        <v>573.072019274099</v>
      </c>
      <c r="I43" s="13" t="n">
        <f aca="false">-PMT(Inputs!$C$8,Inputs!$C$9,$B$41)-I42</f>
        <v>614.562433469544</v>
      </c>
      <c r="J43" s="13" t="n">
        <f aca="false">-PMT(Inputs!$C$8,Inputs!$C$9,$B$41)-J42</f>
        <v>659.056753652738</v>
      </c>
      <c r="K43" s="13" t="n">
        <f aca="false">-PMT(Inputs!$C$8,Inputs!$C$9,$B$41)-K42</f>
        <v>706.772462617197</v>
      </c>
      <c r="L43" s="13" t="n">
        <f aca="false">-PMT(Inputs!$C$8,Inputs!$C$9,$B$41)-L42</f>
        <v>757.942788910682</v>
      </c>
      <c r="M43" s="13" t="n">
        <f aca="false">-PMT(Inputs!$C$8,Inputs!$C$9,$B$41)-M42</f>
        <v>812.817846827815</v>
      </c>
      <c r="N43" s="13" t="n">
        <f aca="false">-PMT(Inputs!$C$8,Inputs!$C$9,$B$41)-N42</f>
        <v>871.665858938149</v>
      </c>
      <c r="O43" s="13" t="n">
        <f aca="false">-PMT(Inputs!$C$8,Inputs!$C$9,$B$41)-O42</f>
        <v>934.774467125271</v>
      </c>
      <c r="P43" s="13" t="n">
        <f aca="false">-PMT(Inputs!$C$8,Inputs!$C$9,$B$41)-P42</f>
        <v>1002.45213854514</v>
      </c>
      <c r="Q43" s="13" t="n">
        <f aca="false">-PMT(Inputs!$C$8,Inputs!$C$9,$B$41)-Q42</f>
        <v>1075.02967337581</v>
      </c>
      <c r="R43" s="13" t="n">
        <f aca="false">-PMT(Inputs!$C$8,Inputs!$C$9,$B$41)-R42</f>
        <v>1152.86182172822</v>
      </c>
      <c r="S43" s="13" t="n">
        <f aca="false">-PMT(Inputs!$C$8,Inputs!$C$9,$B$41)-S42</f>
        <v>1236.32901762134</v>
      </c>
      <c r="T43" s="13" t="n">
        <f aca="false">-PMT(Inputs!$C$8,Inputs!$C$9,$B$41)-T42</f>
        <v>1325.83923849712</v>
      </c>
      <c r="U43" s="13" t="n">
        <f aca="false">-PMT(Inputs!$C$8,Inputs!$C$9,$B$41)-U42</f>
        <v>1421.82999936432</v>
      </c>
      <c r="V43" s="13" t="n">
        <f aca="false">-PMT(Inputs!$C$8,Inputs!$C$9,$B$41)-V42</f>
        <v>1524.77049131829</v>
      </c>
      <c r="W43" s="13" t="n">
        <f aca="false">-PMT(Inputs!$C$8,Inputs!$C$9,$B$41)-W42</f>
        <v>1635.16387488974</v>
      </c>
      <c r="X43" s="13" t="n">
        <f aca="false">-PMT(Inputs!$C$8,Inputs!$C$9,$B$41)-X42</f>
        <v>1753.54973943175</v>
      </c>
      <c r="Y43" s="13" t="n">
        <f aca="false">-PMT(Inputs!$C$8,Inputs!$C$9,$B$41)-Y42</f>
        <v>1880.50674056661</v>
      </c>
      <c r="Z43" s="13" t="n">
        <f aca="false">-PMT(Inputs!$C$8,Inputs!$C$9,$B$41)-Z42</f>
        <v>2016.65542858364</v>
      </c>
      <c r="AA43" s="13" t="n">
        <f aca="false">-PMT(Inputs!$C$8,Inputs!$C$9,$B$41)-AA42</f>
        <v>2162.66128161309</v>
      </c>
    </row>
    <row r="44" customFormat="false" ht="15" hidden="false" customHeight="false" outlineLevel="0" collapsed="false">
      <c r="A44" s="3" t="s">
        <v>36</v>
      </c>
      <c r="B44" s="13" t="n">
        <v>0</v>
      </c>
      <c r="C44" s="13" t="n">
        <f aca="false">C42+C43</f>
        <v>2319.23795840188</v>
      </c>
      <c r="D44" s="13" t="n">
        <f aca="false">D42+D43</f>
        <v>2319.23795840188</v>
      </c>
      <c r="E44" s="13" t="n">
        <f aca="false">E42+E43</f>
        <v>2319.23795840188</v>
      </c>
      <c r="F44" s="13" t="n">
        <f aca="false">F42+F43</f>
        <v>2319.23795840188</v>
      </c>
      <c r="G44" s="13" t="n">
        <f aca="false">G42+G43</f>
        <v>2319.23795840188</v>
      </c>
      <c r="H44" s="13" t="n">
        <f aca="false">H42+H43</f>
        <v>2319.23795840188</v>
      </c>
      <c r="I44" s="13" t="n">
        <f aca="false">I42+I43</f>
        <v>2319.23795840188</v>
      </c>
      <c r="J44" s="13" t="n">
        <f aca="false">J42+J43</f>
        <v>2319.23795840188</v>
      </c>
      <c r="K44" s="13" t="n">
        <f aca="false">K42+K43</f>
        <v>2319.23795840188</v>
      </c>
      <c r="L44" s="13" t="n">
        <f aca="false">L42+L43</f>
        <v>2319.23795840188</v>
      </c>
      <c r="M44" s="13" t="n">
        <f aca="false">M42+M43</f>
        <v>2319.23795840188</v>
      </c>
      <c r="N44" s="13" t="n">
        <f aca="false">N42+N43</f>
        <v>2319.23795840188</v>
      </c>
      <c r="O44" s="13" t="n">
        <f aca="false">O42+O43</f>
        <v>2319.23795840188</v>
      </c>
      <c r="P44" s="13" t="n">
        <f aca="false">P42+P43</f>
        <v>2319.23795840188</v>
      </c>
      <c r="Q44" s="13" t="n">
        <f aca="false">Q42+Q43</f>
        <v>2319.23795840188</v>
      </c>
      <c r="R44" s="13" t="n">
        <f aca="false">R42+R43</f>
        <v>2319.23795840188</v>
      </c>
      <c r="S44" s="13" t="n">
        <f aca="false">S42+S43</f>
        <v>2319.23795840188</v>
      </c>
      <c r="T44" s="13" t="n">
        <f aca="false">T42+T43</f>
        <v>2319.23795840188</v>
      </c>
      <c r="U44" s="13" t="n">
        <f aca="false">U42+U43</f>
        <v>2319.23795840188</v>
      </c>
      <c r="V44" s="13" t="n">
        <f aca="false">V42+V43</f>
        <v>2319.23795840188</v>
      </c>
      <c r="W44" s="13" t="n">
        <f aca="false">W42+W43</f>
        <v>2319.23795840188</v>
      </c>
      <c r="X44" s="13" t="n">
        <f aca="false">X42+X43</f>
        <v>2319.23795840188</v>
      </c>
      <c r="Y44" s="13" t="n">
        <f aca="false">Y42+Y43</f>
        <v>2319.23795840188</v>
      </c>
      <c r="Z44" s="13" t="n">
        <f aca="false">Z42+Z43</f>
        <v>2319.23795840188</v>
      </c>
      <c r="AA44" s="13" t="n">
        <f aca="false">AA42+AA43</f>
        <v>2319.23795840188</v>
      </c>
    </row>
    <row r="45" customFormat="false" ht="15" hidden="false" customHeight="false" outlineLevel="0" collapsed="false">
      <c r="A45" s="3" t="s">
        <v>37</v>
      </c>
      <c r="B45" s="13" t="n">
        <v>0</v>
      </c>
      <c r="C45" s="12" t="n">
        <v>1472.6</v>
      </c>
      <c r="D45" s="13" t="n">
        <f aca="false">C45*(1+Inputs!$C$11)</f>
        <v>1509.415</v>
      </c>
      <c r="E45" s="13" t="n">
        <f aca="false">D45*(1+Inputs!$C$11)</f>
        <v>1547.150375</v>
      </c>
      <c r="F45" s="13" t="n">
        <f aca="false">E45*(1+Inputs!$C$11)</f>
        <v>1585.829134375</v>
      </c>
      <c r="G45" s="13" t="n">
        <f aca="false">F45*(1+Inputs!$C$11)</f>
        <v>1625.47486273437</v>
      </c>
      <c r="H45" s="13" t="n">
        <f aca="false">G45*(1+Inputs!$C$11)</f>
        <v>1666.11173430273</v>
      </c>
      <c r="I45" s="13" t="n">
        <f aca="false">H45*(1+Inputs!$C$11)</f>
        <v>1707.7645276603</v>
      </c>
      <c r="J45" s="13" t="n">
        <f aca="false">I45*(1+Inputs!$C$11)</f>
        <v>1750.45864085181</v>
      </c>
      <c r="K45" s="13" t="n">
        <f aca="false">J45*(1+Inputs!$C$11)</f>
        <v>1794.2201068731</v>
      </c>
      <c r="L45" s="13" t="n">
        <f aca="false">K45*(1+Inputs!$C$11)</f>
        <v>1839.07560954493</v>
      </c>
      <c r="M45" s="13" t="n">
        <f aca="false">L45*(1+Inputs!$C$11)</f>
        <v>1885.05249978355</v>
      </c>
      <c r="N45" s="13" t="n">
        <f aca="false">M45*(1+Inputs!$C$11)</f>
        <v>1932.17881227814</v>
      </c>
      <c r="O45" s="13" t="n">
        <f aca="false">N45*(1+Inputs!$C$11)</f>
        <v>1980.4832825851</v>
      </c>
      <c r="P45" s="13" t="n">
        <f aca="false">O45*(1+Inputs!$C$11)</f>
        <v>2029.99536464972</v>
      </c>
      <c r="Q45" s="13" t="n">
        <f aca="false">P45*(1+Inputs!$C$11)</f>
        <v>2080.74524876597</v>
      </c>
      <c r="R45" s="13" t="n">
        <f aca="false">Q45*(1+Inputs!$C$11)</f>
        <v>2132.76387998512</v>
      </c>
      <c r="S45" s="13" t="n">
        <f aca="false">R45*(1+Inputs!$C$11)</f>
        <v>2186.08297698474</v>
      </c>
      <c r="T45" s="13" t="n">
        <f aca="false">S45*(1+Inputs!$C$11)</f>
        <v>2240.73505140936</v>
      </c>
      <c r="U45" s="13" t="n">
        <f aca="false">T45*(1+Inputs!$C$11)</f>
        <v>2296.7534276946</v>
      </c>
      <c r="V45" s="13" t="n">
        <f aca="false">U45*(1+Inputs!$C$11)</f>
        <v>2354.17226338696</v>
      </c>
      <c r="W45" s="13" t="n">
        <f aca="false">V45*(1+Inputs!$C$11)</f>
        <v>2413.02656997163</v>
      </c>
      <c r="X45" s="13" t="n">
        <f aca="false">W45*(1+Inputs!$C$11)</f>
        <v>2473.35223422093</v>
      </c>
      <c r="Y45" s="13" t="n">
        <f aca="false">X45*(1+Inputs!$C$11)</f>
        <v>2535.18604007645</v>
      </c>
      <c r="Z45" s="13" t="n">
        <f aca="false">Y45*(1+Inputs!$C$11)</f>
        <v>2598.56569107836</v>
      </c>
      <c r="AA45" s="13" t="n">
        <f aca="false">Z45*(1+Inputs!$C$11)</f>
        <v>2663.52983335532</v>
      </c>
    </row>
    <row r="46" customFormat="false" ht="15" hidden="false" customHeight="false" outlineLevel="0" collapsed="false">
      <c r="A46" s="3" t="s">
        <v>38</v>
      </c>
      <c r="B46" s="13" t="n">
        <v>0</v>
      </c>
      <c r="C46" s="12" t="n">
        <v>897.93</v>
      </c>
      <c r="D46" s="13" t="n">
        <f aca="false">D45-574.67*(1+Inputs!$C$11)^(2-1)</f>
        <v>920.37825</v>
      </c>
      <c r="E46" s="13" t="n">
        <f aca="false">E45-574.67*(1+Inputs!$C$11)^(3-1)</f>
        <v>943.38770625</v>
      </c>
      <c r="F46" s="13" t="n">
        <f aca="false">F45-574.67*(1+Inputs!$C$11)^(4-1)</f>
        <v>966.97239890625</v>
      </c>
      <c r="G46" s="13" t="n">
        <f aca="false">G45-574.67*(1+Inputs!$C$11)^(5-1)</f>
        <v>991.146708878906</v>
      </c>
      <c r="H46" s="13" t="n">
        <f aca="false">H45-574.67*(1+Inputs!$C$11)^(6-1)</f>
        <v>1015.92537660088</v>
      </c>
      <c r="I46" s="13" t="n">
        <f aca="false">I45-574.67*(1+Inputs!$C$11)^(7-1)</f>
        <v>1041.3235110159</v>
      </c>
      <c r="J46" s="13" t="n">
        <f aca="false">J45-574.67*(1+Inputs!$C$11)^(8-1)</f>
        <v>1067.3565987913</v>
      </c>
      <c r="K46" s="13" t="n">
        <f aca="false">K45-574.67*(1+Inputs!$C$11)^(9-1)</f>
        <v>1094.04051376108</v>
      </c>
      <c r="L46" s="13" t="n">
        <f aca="false">L45-574.67*(1+Inputs!$C$11)^(10-1)</f>
        <v>1121.39152660511</v>
      </c>
      <c r="M46" s="13" t="n">
        <f aca="false">M45-574.67*(1+Inputs!$C$11)^(11-1)</f>
        <v>1149.42631477023</v>
      </c>
      <c r="N46" s="13" t="n">
        <f aca="false">N45-574.67*(1+Inputs!$C$11)^(12-1)</f>
        <v>1178.16197263949</v>
      </c>
      <c r="O46" s="13" t="n">
        <f aca="false">O45-574.67*(1+Inputs!$C$11)^(13-1)</f>
        <v>1207.61602195548</v>
      </c>
      <c r="P46" s="13" t="n">
        <f aca="false">P45-574.67*(1+Inputs!$C$11)^(14-1)</f>
        <v>1237.80642250436</v>
      </c>
      <c r="Q46" s="13" t="n">
        <f aca="false">Q45-574.67*(1+Inputs!$C$11)^(15-1)</f>
        <v>1268.75158306697</v>
      </c>
      <c r="R46" s="13" t="n">
        <f aca="false">R45-574.67*(1+Inputs!$C$11)^(16-1)</f>
        <v>1300.47037264365</v>
      </c>
      <c r="S46" s="13" t="n">
        <f aca="false">S45-574.67*(1+Inputs!$C$11)^(17-1)</f>
        <v>1332.98213195974</v>
      </c>
      <c r="T46" s="13" t="n">
        <f aca="false">T45-574.67*(1+Inputs!$C$11)^(18-1)</f>
        <v>1366.30668525873</v>
      </c>
      <c r="U46" s="13" t="n">
        <f aca="false">U45-574.67*(1+Inputs!$C$11)^(19-1)</f>
        <v>1400.4643523902</v>
      </c>
      <c r="V46" s="13" t="n">
        <f aca="false">V45-574.67*(1+Inputs!$C$11)^(20-1)</f>
        <v>1435.47596119996</v>
      </c>
      <c r="W46" s="13" t="n">
        <f aca="false">W45-574.67*(1+Inputs!$C$11)^(21-1)</f>
        <v>1471.36286022995</v>
      </c>
      <c r="X46" s="13" t="n">
        <f aca="false">X45-574.67*(1+Inputs!$C$11)^(22-1)</f>
        <v>1508.1469317357</v>
      </c>
      <c r="Y46" s="13" t="n">
        <f aca="false">Y45-574.67*(1+Inputs!$C$11)^(23-1)</f>
        <v>1545.85060502909</v>
      </c>
      <c r="Z46" s="13" t="n">
        <f aca="false">Z45-574.67*(1+Inputs!$C$11)^(24-1)</f>
        <v>1584.49687015482</v>
      </c>
      <c r="AA46" s="13" t="n">
        <f aca="false">AA45-574.67*(1+Inputs!$C$11)^(25-1)</f>
        <v>1624.10929190869</v>
      </c>
    </row>
    <row r="47" customFormat="false" ht="15" hidden="false" customHeight="false" outlineLevel="0" collapsed="false">
      <c r="A47" s="3" t="s">
        <v>39</v>
      </c>
      <c r="B47" s="13" t="n">
        <v>0</v>
      </c>
      <c r="C47" s="13" t="n">
        <f aca="false">C45-C46</f>
        <v>574.67</v>
      </c>
      <c r="D47" s="13" t="n">
        <f aca="false">D45-D46</f>
        <v>589.03675</v>
      </c>
      <c r="E47" s="13" t="n">
        <f aca="false">E45-E46</f>
        <v>603.76266875</v>
      </c>
      <c r="F47" s="13" t="n">
        <f aca="false">F45-F46</f>
        <v>618.85673546875</v>
      </c>
      <c r="G47" s="13" t="n">
        <f aca="false">G45-G46</f>
        <v>634.328153855469</v>
      </c>
      <c r="H47" s="13" t="n">
        <f aca="false">H45-H46</f>
        <v>650.186357701855</v>
      </c>
      <c r="I47" s="13" t="n">
        <f aca="false">I45-I46</f>
        <v>666.441016644401</v>
      </c>
      <c r="J47" s="13" t="n">
        <f aca="false">J45-J46</f>
        <v>683.102042060511</v>
      </c>
      <c r="K47" s="13" t="n">
        <f aca="false">K45-K46</f>
        <v>700.179593112024</v>
      </c>
      <c r="L47" s="13" t="n">
        <f aca="false">L45-L46</f>
        <v>717.684082939825</v>
      </c>
      <c r="M47" s="13" t="n">
        <f aca="false">M45-M46</f>
        <v>735.62618501332</v>
      </c>
      <c r="N47" s="13" t="n">
        <f aca="false">N45-N46</f>
        <v>754.016839638653</v>
      </c>
      <c r="O47" s="13" t="n">
        <f aca="false">O45-O46</f>
        <v>772.86726062962</v>
      </c>
      <c r="P47" s="13" t="n">
        <f aca="false">P45-P46</f>
        <v>792.18894214536</v>
      </c>
      <c r="Q47" s="13" t="n">
        <f aca="false">Q45-Q46</f>
        <v>811.993665698994</v>
      </c>
      <c r="R47" s="13" t="n">
        <f aca="false">R45-R46</f>
        <v>832.293507341469</v>
      </c>
      <c r="S47" s="13" t="n">
        <f aca="false">S45-S46</f>
        <v>853.100845025005</v>
      </c>
      <c r="T47" s="13" t="n">
        <f aca="false">T45-T46</f>
        <v>874.42836615063</v>
      </c>
      <c r="U47" s="13" t="n">
        <f aca="false">U45-U46</f>
        <v>896.289075304396</v>
      </c>
      <c r="V47" s="13" t="n">
        <f aca="false">V45-V46</f>
        <v>918.696302187006</v>
      </c>
      <c r="W47" s="13" t="n">
        <f aca="false">W45-W46</f>
        <v>941.663709741681</v>
      </c>
      <c r="X47" s="13" t="n">
        <f aca="false">X45-X46</f>
        <v>965.205302485223</v>
      </c>
      <c r="Y47" s="13" t="n">
        <f aca="false">Y45-Y46</f>
        <v>989.335435047353</v>
      </c>
      <c r="Z47" s="13" t="n">
        <f aca="false">Z45-Z46</f>
        <v>1014.06882092354</v>
      </c>
      <c r="AA47" s="13" t="n">
        <f aca="false">AA45-AA46</f>
        <v>1039.42054144663</v>
      </c>
    </row>
    <row r="48" customFormat="false" ht="15" hidden="false" customHeight="false" outlineLevel="0" collapsed="false">
      <c r="A48" s="3" t="s">
        <v>40</v>
      </c>
      <c r="B48" s="13" t="n">
        <v>0</v>
      </c>
      <c r="C48" s="12" t="n">
        <v>277</v>
      </c>
      <c r="D48" s="12" t="n">
        <v>277</v>
      </c>
      <c r="E48" s="12" t="n">
        <v>277</v>
      </c>
      <c r="F48" s="12" t="n">
        <v>277</v>
      </c>
      <c r="G48" s="12" t="n">
        <v>277</v>
      </c>
      <c r="H48" s="12" t="n">
        <v>277</v>
      </c>
      <c r="I48" s="12" t="n">
        <v>277</v>
      </c>
      <c r="J48" s="12" t="n">
        <v>277</v>
      </c>
      <c r="K48" s="12" t="n">
        <v>277</v>
      </c>
      <c r="L48" s="12" t="n">
        <v>277</v>
      </c>
      <c r="M48" s="12" t="n">
        <v>277</v>
      </c>
      <c r="N48" s="12" t="n">
        <v>277</v>
      </c>
      <c r="O48" s="12" t="n">
        <v>277</v>
      </c>
      <c r="P48" s="12" t="n">
        <v>277</v>
      </c>
      <c r="Q48" s="12" t="n">
        <v>277</v>
      </c>
      <c r="R48" s="12" t="n">
        <v>277</v>
      </c>
      <c r="S48" s="12" t="n">
        <v>277</v>
      </c>
      <c r="T48" s="12" t="n">
        <v>277</v>
      </c>
      <c r="U48" s="12" t="n">
        <v>277</v>
      </c>
      <c r="V48" s="12" t="n">
        <v>277</v>
      </c>
      <c r="W48" s="12" t="n">
        <v>277</v>
      </c>
      <c r="X48" s="12" t="n">
        <v>277</v>
      </c>
      <c r="Y48" s="12" t="n">
        <v>277</v>
      </c>
      <c r="Z48" s="12" t="n">
        <v>277</v>
      </c>
      <c r="AA48" s="12" t="n">
        <v>277</v>
      </c>
    </row>
    <row r="49" customFormat="false" ht="15" hidden="false" customHeight="false" outlineLevel="0" collapsed="false">
      <c r="A49" s="3" t="s">
        <v>41</v>
      </c>
      <c r="B49" s="13" t="n">
        <v>0</v>
      </c>
      <c r="C49" s="13" t="n">
        <f aca="false">C47+C48</f>
        <v>851.67</v>
      </c>
      <c r="D49" s="13" t="n">
        <f aca="false">D47+D48</f>
        <v>866.03675</v>
      </c>
      <c r="E49" s="13" t="n">
        <f aca="false">E47+E48</f>
        <v>880.76266875</v>
      </c>
      <c r="F49" s="13" t="n">
        <f aca="false">F47+F48</f>
        <v>895.85673546875</v>
      </c>
      <c r="G49" s="13" t="n">
        <f aca="false">G47+G48</f>
        <v>911.328153855469</v>
      </c>
      <c r="H49" s="13" t="n">
        <f aca="false">H47+H48</f>
        <v>927.186357701855</v>
      </c>
      <c r="I49" s="13" t="n">
        <f aca="false">I47+I48</f>
        <v>943.441016644401</v>
      </c>
      <c r="J49" s="13" t="n">
        <f aca="false">J47+J48</f>
        <v>960.102042060511</v>
      </c>
      <c r="K49" s="13" t="n">
        <f aca="false">K47+K48</f>
        <v>977.179593112024</v>
      </c>
      <c r="L49" s="13" t="n">
        <f aca="false">L47+L48</f>
        <v>994.684082939825</v>
      </c>
      <c r="M49" s="13" t="n">
        <f aca="false">M47+M48</f>
        <v>1012.62618501332</v>
      </c>
      <c r="N49" s="13" t="n">
        <f aca="false">N47+N48</f>
        <v>1031.01683963865</v>
      </c>
      <c r="O49" s="13" t="n">
        <f aca="false">O47+O48</f>
        <v>1049.86726062962</v>
      </c>
      <c r="P49" s="13" t="n">
        <f aca="false">P47+P48</f>
        <v>1069.18894214536</v>
      </c>
      <c r="Q49" s="13" t="n">
        <f aca="false">Q47+Q48</f>
        <v>1088.99366569899</v>
      </c>
      <c r="R49" s="13" t="n">
        <f aca="false">R47+R48</f>
        <v>1109.29350734147</v>
      </c>
      <c r="S49" s="13" t="n">
        <f aca="false">S47+S48</f>
        <v>1130.10084502501</v>
      </c>
      <c r="T49" s="13" t="n">
        <f aca="false">T47+T48</f>
        <v>1151.42836615063</v>
      </c>
      <c r="U49" s="13" t="n">
        <f aca="false">U47+U48</f>
        <v>1173.2890753044</v>
      </c>
      <c r="V49" s="13" t="n">
        <f aca="false">V47+V48</f>
        <v>1195.69630218701</v>
      </c>
      <c r="W49" s="13" t="n">
        <f aca="false">W47+W48</f>
        <v>1218.66370974168</v>
      </c>
      <c r="X49" s="13" t="n">
        <f aca="false">X47+X48</f>
        <v>1242.20530248522</v>
      </c>
      <c r="Y49" s="13" t="n">
        <f aca="false">Y47+Y48</f>
        <v>1266.33543504735</v>
      </c>
      <c r="Z49" s="13" t="n">
        <f aca="false">Z47+Z48</f>
        <v>1291.06882092354</v>
      </c>
      <c r="AA49" s="13" t="n">
        <f aca="false">AA47+AA48</f>
        <v>1316.42054144663</v>
      </c>
    </row>
    <row r="50" customFormat="false" ht="15" hidden="false" customHeight="false" outlineLevel="0" collapsed="false">
      <c r="A50" s="3" t="s">
        <v>42</v>
      </c>
      <c r="B50" s="13" t="n">
        <v>0</v>
      </c>
      <c r="C50" s="13" t="n">
        <f aca="false">C49-C44</f>
        <v>-1467.56795840188</v>
      </c>
      <c r="D50" s="13" t="n">
        <f aca="false">D49-D44</f>
        <v>-1453.20120840188</v>
      </c>
      <c r="E50" s="13" t="n">
        <f aca="false">E49-E44</f>
        <v>-1438.47528965188</v>
      </c>
      <c r="F50" s="13" t="n">
        <f aca="false">F49-F44</f>
        <v>-1423.38122293313</v>
      </c>
      <c r="G50" s="13" t="n">
        <f aca="false">G49-G44</f>
        <v>-1407.90980454641</v>
      </c>
      <c r="H50" s="13" t="n">
        <f aca="false">H49-H44</f>
        <v>-1392.05160070002</v>
      </c>
      <c r="I50" s="13" t="n">
        <f aca="false">I49-I44</f>
        <v>-1375.79694175748</v>
      </c>
      <c r="J50" s="13" t="n">
        <f aca="false">J49-J44</f>
        <v>-1359.13591634137</v>
      </c>
      <c r="K50" s="13" t="n">
        <f aca="false">K49-K44</f>
        <v>-1342.05836528986</v>
      </c>
      <c r="L50" s="13" t="n">
        <f aca="false">L49-L44</f>
        <v>-1324.55387546205</v>
      </c>
      <c r="M50" s="13" t="n">
        <f aca="false">M49-M44</f>
        <v>-1306.61177338856</v>
      </c>
      <c r="N50" s="13" t="n">
        <f aca="false">N49-N44</f>
        <v>-1288.22111876323</v>
      </c>
      <c r="O50" s="13" t="n">
        <f aca="false">O49-O44</f>
        <v>-1269.37069777226</v>
      </c>
      <c r="P50" s="13" t="n">
        <f aca="false">P49-P44</f>
        <v>-1250.04901625652</v>
      </c>
      <c r="Q50" s="13" t="n">
        <f aca="false">Q49-Q44</f>
        <v>-1230.24429270289</v>
      </c>
      <c r="R50" s="13" t="n">
        <f aca="false">R49-R44</f>
        <v>-1209.94445106041</v>
      </c>
      <c r="S50" s="13" t="n">
        <f aca="false">S49-S44</f>
        <v>-1189.13711337687</v>
      </c>
      <c r="T50" s="13" t="n">
        <f aca="false">T49-T44</f>
        <v>-1167.80959225125</v>
      </c>
      <c r="U50" s="13" t="n">
        <f aca="false">U49-U44</f>
        <v>-1145.94888309748</v>
      </c>
      <c r="V50" s="13" t="n">
        <f aca="false">V49-V44</f>
        <v>-1123.54165621487</v>
      </c>
      <c r="W50" s="13" t="n">
        <f aca="false">W49-W44</f>
        <v>-1100.5742486602</v>
      </c>
      <c r="X50" s="13" t="n">
        <f aca="false">X49-X44</f>
        <v>-1077.03265591666</v>
      </c>
      <c r="Y50" s="13" t="n">
        <f aca="false">Y49-Y44</f>
        <v>-1052.90252335453</v>
      </c>
      <c r="Z50" s="13" t="n">
        <f aca="false">Z49-Z44</f>
        <v>-1028.16913747834</v>
      </c>
      <c r="AA50" s="13" t="n">
        <f aca="false">AA49-AA44</f>
        <v>-1002.81741695525</v>
      </c>
    </row>
    <row r="51" customFormat="false" ht="15" hidden="false" customHeight="false" outlineLevel="0" collapsed="false">
      <c r="A51" s="3" t="s">
        <v>43</v>
      </c>
      <c r="B51" s="13" t="n">
        <v>0</v>
      </c>
      <c r="C51" s="13" t="n">
        <f aca="false">C50/(1+Inputs!$C$10)^1</f>
        <v>-1379.29319398673</v>
      </c>
      <c r="D51" s="13" t="n">
        <f aca="false">C51+D50/(1+Inputs!$C$10)^2</f>
        <v>-2662.93098477645</v>
      </c>
      <c r="E51" s="13" t="n">
        <f aca="false">D51+E50/(1+Inputs!$C$10)^3</f>
        <v>-3857.13223643632</v>
      </c>
      <c r="F51" s="13" t="n">
        <f aca="false">E51+F50/(1+Inputs!$C$10)^4</f>
        <v>-4967.72469614548</v>
      </c>
      <c r="G51" s="13" t="n">
        <f aca="false">F51+G50/(1+Inputs!$C$10)^5</f>
        <v>-6000.16914497136</v>
      </c>
      <c r="H51" s="13" t="n">
        <f aca="false">G51+H50/(1+Inputs!$C$10)^6</f>
        <v>-6959.5820730608</v>
      </c>
      <c r="I51" s="13" t="n">
        <f aca="false">H51+I50/(1+Inputs!$C$10)^7</f>
        <v>-7850.7569688426</v>
      </c>
      <c r="J51" s="13" t="n">
        <f aca="false">I51+J50/(1+Inputs!$C$10)^8</f>
        <v>-8678.18430641803</v>
      </c>
      <c r="K51" s="13" t="n">
        <f aca="false">J51+K50/(1+Inputs!$C$10)^9</f>
        <v>-9446.07031022306</v>
      </c>
      <c r="L51" s="13" t="n">
        <f aca="false">K51+L50/(1+Inputs!$C$10)^10</f>
        <v>-10158.3545712606</v>
      </c>
      <c r="M51" s="13" t="n">
        <f aca="false">L51+M50/(1+Inputs!$C$10)^11</f>
        <v>-10818.726584704</v>
      </c>
      <c r="N51" s="13" t="n">
        <f aca="false">M51+N50/(1+Inputs!$C$10)^12</f>
        <v>-11430.6412744492</v>
      </c>
      <c r="O51" s="13" t="n">
        <f aca="false">N51+O50/(1+Inputs!$C$10)^13</f>
        <v>-11997.3335662208</v>
      </c>
      <c r="P51" s="13" t="n">
        <f aca="false">O51+P50/(1+Inputs!$C$10)^14</f>
        <v>-12521.8320671097</v>
      </c>
      <c r="Q51" s="13" t="n">
        <f aca="false">P51+Q50/(1+Inputs!$C$10)^15</f>
        <v>-13006.9719059124</v>
      </c>
      <c r="R51" s="13" t="n">
        <f aca="false">Q51+R50/(1+Inputs!$C$10)^16</f>
        <v>-13455.4067853514</v>
      </c>
      <c r="S51" s="13" t="n">
        <f aca="false">R51+S50/(1+Inputs!$C$10)^17</f>
        <v>-13869.6202941584</v>
      </c>
      <c r="T51" s="13" t="n">
        <f aca="false">S51+T50/(1+Inputs!$C$10)^18</f>
        <v>-14251.9365240988</v>
      </c>
      <c r="U51" s="13" t="n">
        <f aca="false">T51+U50/(1+Inputs!$C$10)^19</f>
        <v>-14604.5300342804</v>
      </c>
      <c r="V51" s="13" t="n">
        <f aca="false">U51+V50/(1+Inputs!$C$10)^20</f>
        <v>-14929.4352025242</v>
      </c>
      <c r="W51" s="13" t="n">
        <f aca="false">V51+W50/(1+Inputs!$C$10)^21</f>
        <v>-15228.5550011651</v>
      </c>
      <c r="X51" s="13" t="n">
        <f aca="false">W51+X50/(1+Inputs!$C$10)^22</f>
        <v>-15503.6692323801</v>
      </c>
      <c r="Y51" s="13" t="n">
        <f aca="false">X51+Y50/(1+Inputs!$C$10)^23</f>
        <v>-15756.4422560186</v>
      </c>
      <c r="Z51" s="13" t="n">
        <f aca="false">Y51+Z50/(1+Inputs!$C$10)^24</f>
        <v>-15988.4302409034</v>
      </c>
      <c r="AA51" s="13" t="n">
        <f aca="false">Z51+AA50/(1+Inputs!$C$10)^25</f>
        <v>-16201.0879686962</v>
      </c>
    </row>
    <row r="52" customFormat="false" ht="15" hidden="false" customHeight="false" outlineLevel="0" collapsed="false">
      <c r="A52" s="14" t="s">
        <v>44</v>
      </c>
      <c r="B52" s="15" t="n">
        <f aca="false">IF((C47+C48)&gt;0,B41/(C47+C48),"N/A")</f>
        <v>31.0601524064485</v>
      </c>
    </row>
    <row r="56" customFormat="false" ht="15" hidden="false" customHeight="false" outlineLevel="0" collapsed="false">
      <c r="A56" s="10" t="s">
        <v>47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customFormat="false" ht="15" hidden="false" customHeight="false" outlineLevel="0" collapsed="false">
      <c r="A57" s="2" t="s">
        <v>32</v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 customFormat="false" ht="15" hidden="false" customHeight="false" outlineLevel="0" collapsed="false">
      <c r="A58" s="3" t="s">
        <v>33</v>
      </c>
      <c r="B58" s="12" t="n">
        <v>33930</v>
      </c>
      <c r="C58" s="13" t="n">
        <f aca="false">B58-C60</f>
        <v>33411.7562116745</v>
      </c>
      <c r="D58" s="13" t="n">
        <f aca="false">C58-D60</f>
        <v>32855.9915730741</v>
      </c>
      <c r="E58" s="13" t="n">
        <f aca="false">D58-E60</f>
        <v>32259.9895746392</v>
      </c>
      <c r="F58" s="13" t="n">
        <f aca="false">E58-F60</f>
        <v>31620.8370315175</v>
      </c>
      <c r="G58" s="13" t="n">
        <f aca="false">F58-G60</f>
        <v>30935.4098442738</v>
      </c>
      <c r="H58" s="13" t="n">
        <f aca="false">G58-H60</f>
        <v>30200.3577286737</v>
      </c>
      <c r="I58" s="13" t="n">
        <f aca="false">H58-I60</f>
        <v>29412.0878399041</v>
      </c>
      <c r="J58" s="13" t="n">
        <f aca="false">I58-J60</f>
        <v>28566.7472111876</v>
      </c>
      <c r="K58" s="13" t="n">
        <f aca="false">J58-K60</f>
        <v>27660.203920952</v>
      </c>
      <c r="L58" s="13" t="n">
        <f aca="false">K58-L60</f>
        <v>26688.0268965034</v>
      </c>
      <c r="M58" s="13" t="n">
        <f aca="false">L58-M60</f>
        <v>25645.4642554847</v>
      </c>
      <c r="N58" s="13" t="n">
        <f aca="false">M58-N60</f>
        <v>24527.4200792562</v>
      </c>
      <c r="O58" s="13" t="n">
        <f aca="false">N58-O60</f>
        <v>23328.4295046688</v>
      </c>
      <c r="P58" s="13" t="n">
        <f aca="false">O58-P60</f>
        <v>22042.6320124813</v>
      </c>
      <c r="Q58" s="13" t="n">
        <f aca="false">P58-Q60</f>
        <v>20663.7427818594</v>
      </c>
      <c r="R58" s="13" t="n">
        <f aca="false">Q58-R60</f>
        <v>19185.0219709405</v>
      </c>
      <c r="S58" s="13" t="n">
        <f aca="false">R58-S60</f>
        <v>17599.241773311</v>
      </c>
      <c r="T58" s="13" t="n">
        <f aca="false">S58-T60</f>
        <v>15898.6510893732</v>
      </c>
      <c r="U58" s="13" t="n">
        <f aca="false">T58-U60</f>
        <v>14074.9376399183</v>
      </c>
      <c r="V58" s="13" t="n">
        <f aca="false">U58-V60</f>
        <v>12119.1873367228</v>
      </c>
      <c r="W58" s="13" t="n">
        <f aca="false">V58-W60</f>
        <v>10021.840711576</v>
      </c>
      <c r="X58" s="13" t="n">
        <f aca="false">W58-X60</f>
        <v>7772.64619076854</v>
      </c>
      <c r="Y58" s="13" t="n">
        <f aca="false">X58-Y60</f>
        <v>5360.60998665464</v>
      </c>
      <c r="Z58" s="13" t="n">
        <f aca="false">Y58-Z60</f>
        <v>2773.94236136288</v>
      </c>
      <c r="AA58" s="13" t="n">
        <f aca="false">Z58-AA60</f>
        <v>0</v>
      </c>
    </row>
    <row r="59" customFormat="false" ht="15" hidden="false" customHeight="false" outlineLevel="0" collapsed="false">
      <c r="A59" s="3" t="s">
        <v>34</v>
      </c>
      <c r="B59" s="13" t="n">
        <v>0</v>
      </c>
      <c r="C59" s="13" t="n">
        <f aca="false">B58*Inputs!$C$8</f>
        <v>2456.532</v>
      </c>
      <c r="D59" s="13" t="n">
        <f aca="false">C58*Inputs!$C$8</f>
        <v>2419.01114972523</v>
      </c>
      <c r="E59" s="13" t="n">
        <f aca="false">D58*Inputs!$C$8</f>
        <v>2378.77378989057</v>
      </c>
      <c r="F59" s="13" t="n">
        <f aca="false">E58*Inputs!$C$8</f>
        <v>2335.62324520388</v>
      </c>
      <c r="G59" s="13" t="n">
        <f aca="false">F58*Inputs!$C$8</f>
        <v>2289.34860108187</v>
      </c>
      <c r="H59" s="13" t="n">
        <f aca="false">G58*Inputs!$C$8</f>
        <v>2239.72367272542</v>
      </c>
      <c r="I59" s="13" t="n">
        <f aca="false">H58*Inputs!$C$8</f>
        <v>2186.50589955597</v>
      </c>
      <c r="J59" s="13" t="n">
        <f aca="false">I58*Inputs!$C$8</f>
        <v>2129.43515960906</v>
      </c>
      <c r="K59" s="13" t="n">
        <f aca="false">J58*Inputs!$C$8</f>
        <v>2068.23249808998</v>
      </c>
      <c r="L59" s="13" t="n">
        <f aca="false">K58*Inputs!$C$8</f>
        <v>2002.59876387693</v>
      </c>
      <c r="M59" s="13" t="n">
        <f aca="false">L58*Inputs!$C$8</f>
        <v>1932.21314730685</v>
      </c>
      <c r="N59" s="13" t="n">
        <f aca="false">M58*Inputs!$C$8</f>
        <v>1856.73161209709</v>
      </c>
      <c r="O59" s="13" t="n">
        <f aca="false">N58*Inputs!$C$8</f>
        <v>1775.78521373815</v>
      </c>
      <c r="P59" s="13" t="n">
        <f aca="false">O58*Inputs!$C$8</f>
        <v>1688.97829613802</v>
      </c>
      <c r="Q59" s="13" t="n">
        <f aca="false">P58*Inputs!$C$8</f>
        <v>1595.88655770365</v>
      </c>
      <c r="R59" s="13" t="n">
        <f aca="false">Q58*Inputs!$C$8</f>
        <v>1496.05497740662</v>
      </c>
      <c r="S59" s="13" t="n">
        <f aca="false">R58*Inputs!$C$8</f>
        <v>1388.99559069609</v>
      </c>
      <c r="T59" s="13" t="n">
        <f aca="false">S58*Inputs!$C$8</f>
        <v>1274.18510438772</v>
      </c>
      <c r="U59" s="13" t="n">
        <f aca="false">T58*Inputs!$C$8</f>
        <v>1151.06233887062</v>
      </c>
      <c r="V59" s="13" t="n">
        <f aca="false">U58*Inputs!$C$8</f>
        <v>1019.02548513008</v>
      </c>
      <c r="W59" s="13" t="n">
        <f aca="false">V58*Inputs!$C$8</f>
        <v>877.429163178731</v>
      </c>
      <c r="X59" s="13" t="n">
        <f aca="false">W58*Inputs!$C$8</f>
        <v>725.581267518102</v>
      </c>
      <c r="Y59" s="13" t="n">
        <f aca="false">X58*Inputs!$C$8</f>
        <v>562.739584211643</v>
      </c>
      <c r="Z59" s="13" t="n">
        <f aca="false">Y58*Inputs!$C$8</f>
        <v>388.108163033796</v>
      </c>
      <c r="AA59" s="13" t="n">
        <f aca="false">Z58*Inputs!$C$8</f>
        <v>200.833426962673</v>
      </c>
    </row>
    <row r="60" customFormat="false" ht="15" hidden="false" customHeight="false" outlineLevel="0" collapsed="false">
      <c r="A60" s="3" t="s">
        <v>35</v>
      </c>
      <c r="B60" s="13" t="n">
        <v>0</v>
      </c>
      <c r="C60" s="13" t="n">
        <f aca="false">-PMT(Inputs!$C$8,Inputs!$C$9,$B$58)-C59</f>
        <v>518.243788325549</v>
      </c>
      <c r="D60" s="13" t="n">
        <f aca="false">-PMT(Inputs!$C$8,Inputs!$C$9,$B$58)-D59</f>
        <v>555.764638600319</v>
      </c>
      <c r="E60" s="13" t="n">
        <f aca="false">-PMT(Inputs!$C$8,Inputs!$C$9,$B$58)-E59</f>
        <v>596.001998434982</v>
      </c>
      <c r="F60" s="13" t="n">
        <f aca="false">-PMT(Inputs!$C$8,Inputs!$C$9,$B$58)-F59</f>
        <v>639.152543121675</v>
      </c>
      <c r="G60" s="13" t="n">
        <f aca="false">-PMT(Inputs!$C$8,Inputs!$C$9,$B$58)-G59</f>
        <v>685.427187243684</v>
      </c>
      <c r="H60" s="13" t="n">
        <f aca="false">-PMT(Inputs!$C$8,Inputs!$C$9,$B$58)-H59</f>
        <v>735.052115600127</v>
      </c>
      <c r="I60" s="13" t="n">
        <f aca="false">-PMT(Inputs!$C$8,Inputs!$C$9,$B$58)-I59</f>
        <v>788.269888769576</v>
      </c>
      <c r="J60" s="13" t="n">
        <f aca="false">-PMT(Inputs!$C$8,Inputs!$C$9,$B$58)-J59</f>
        <v>845.340628716494</v>
      </c>
      <c r="K60" s="13" t="n">
        <f aca="false">-PMT(Inputs!$C$8,Inputs!$C$9,$B$58)-K59</f>
        <v>906.543290235567</v>
      </c>
      <c r="L60" s="13" t="n">
        <f aca="false">-PMT(Inputs!$C$8,Inputs!$C$9,$B$58)-L59</f>
        <v>972.177024448623</v>
      </c>
      <c r="M60" s="13" t="n">
        <f aca="false">-PMT(Inputs!$C$8,Inputs!$C$9,$B$58)-M59</f>
        <v>1042.5626410187</v>
      </c>
      <c r="N60" s="13" t="n">
        <f aca="false">-PMT(Inputs!$C$8,Inputs!$C$9,$B$58)-N59</f>
        <v>1118.04417622846</v>
      </c>
      <c r="O60" s="13" t="n">
        <f aca="false">-PMT(Inputs!$C$8,Inputs!$C$9,$B$58)-O59</f>
        <v>1198.9905745874</v>
      </c>
      <c r="P60" s="13" t="n">
        <f aca="false">-PMT(Inputs!$C$8,Inputs!$C$9,$B$58)-P59</f>
        <v>1285.79749218753</v>
      </c>
      <c r="Q60" s="13" t="n">
        <f aca="false">-PMT(Inputs!$C$8,Inputs!$C$9,$B$58)-Q59</f>
        <v>1378.8892306219</v>
      </c>
      <c r="R60" s="13" t="n">
        <f aca="false">-PMT(Inputs!$C$8,Inputs!$C$9,$B$58)-R59</f>
        <v>1478.72081091893</v>
      </c>
      <c r="S60" s="13" t="n">
        <f aca="false">-PMT(Inputs!$C$8,Inputs!$C$9,$B$58)-S59</f>
        <v>1585.78019762946</v>
      </c>
      <c r="T60" s="13" t="n">
        <f aca="false">-PMT(Inputs!$C$8,Inputs!$C$9,$B$58)-T59</f>
        <v>1700.59068393783</v>
      </c>
      <c r="U60" s="13" t="n">
        <f aca="false">-PMT(Inputs!$C$8,Inputs!$C$9,$B$58)-U59</f>
        <v>1823.71344945493</v>
      </c>
      <c r="V60" s="13" t="n">
        <f aca="false">-PMT(Inputs!$C$8,Inputs!$C$9,$B$58)-V59</f>
        <v>1955.75030319547</v>
      </c>
      <c r="W60" s="13" t="n">
        <f aca="false">-PMT(Inputs!$C$8,Inputs!$C$9,$B$58)-W59</f>
        <v>2097.34662514682</v>
      </c>
      <c r="X60" s="13" t="n">
        <f aca="false">-PMT(Inputs!$C$8,Inputs!$C$9,$B$58)-X59</f>
        <v>2249.19452080745</v>
      </c>
      <c r="Y60" s="13" t="n">
        <f aca="false">-PMT(Inputs!$C$8,Inputs!$C$9,$B$58)-Y59</f>
        <v>2412.03620411391</v>
      </c>
      <c r="Z60" s="13" t="n">
        <f aca="false">-PMT(Inputs!$C$8,Inputs!$C$9,$B$58)-Z59</f>
        <v>2586.66762529175</v>
      </c>
      <c r="AA60" s="13" t="n">
        <f aca="false">-PMT(Inputs!$C$8,Inputs!$C$9,$B$58)-AA59</f>
        <v>2773.94236136288</v>
      </c>
    </row>
    <row r="61" customFormat="false" ht="15" hidden="false" customHeight="false" outlineLevel="0" collapsed="false">
      <c r="A61" s="3" t="s">
        <v>36</v>
      </c>
      <c r="B61" s="13" t="n">
        <v>0</v>
      </c>
      <c r="C61" s="13" t="n">
        <f aca="false">C59+C60</f>
        <v>2974.77578832555</v>
      </c>
      <c r="D61" s="13" t="n">
        <f aca="false">D59+D60</f>
        <v>2974.77578832555</v>
      </c>
      <c r="E61" s="13" t="n">
        <f aca="false">E59+E60</f>
        <v>2974.77578832555</v>
      </c>
      <c r="F61" s="13" t="n">
        <f aca="false">F59+F60</f>
        <v>2974.77578832555</v>
      </c>
      <c r="G61" s="13" t="n">
        <f aca="false">G59+G60</f>
        <v>2974.77578832555</v>
      </c>
      <c r="H61" s="13" t="n">
        <f aca="false">H59+H60</f>
        <v>2974.77578832555</v>
      </c>
      <c r="I61" s="13" t="n">
        <f aca="false">I59+I60</f>
        <v>2974.77578832555</v>
      </c>
      <c r="J61" s="13" t="n">
        <f aca="false">J59+J60</f>
        <v>2974.77578832555</v>
      </c>
      <c r="K61" s="13" t="n">
        <f aca="false">K59+K60</f>
        <v>2974.77578832555</v>
      </c>
      <c r="L61" s="13" t="n">
        <f aca="false">L59+L60</f>
        <v>2974.77578832555</v>
      </c>
      <c r="M61" s="13" t="n">
        <f aca="false">M59+M60</f>
        <v>2974.77578832555</v>
      </c>
      <c r="N61" s="13" t="n">
        <f aca="false">N59+N60</f>
        <v>2974.77578832555</v>
      </c>
      <c r="O61" s="13" t="n">
        <f aca="false">O59+O60</f>
        <v>2974.77578832555</v>
      </c>
      <c r="P61" s="13" t="n">
        <f aca="false">P59+P60</f>
        <v>2974.77578832555</v>
      </c>
      <c r="Q61" s="13" t="n">
        <f aca="false">Q59+Q60</f>
        <v>2974.77578832555</v>
      </c>
      <c r="R61" s="13" t="n">
        <f aca="false">R59+R60</f>
        <v>2974.77578832555</v>
      </c>
      <c r="S61" s="13" t="n">
        <f aca="false">S59+S60</f>
        <v>2974.77578832555</v>
      </c>
      <c r="T61" s="13" t="n">
        <f aca="false">T59+T60</f>
        <v>2974.77578832555</v>
      </c>
      <c r="U61" s="13" t="n">
        <f aca="false">U59+U60</f>
        <v>2974.77578832555</v>
      </c>
      <c r="V61" s="13" t="n">
        <f aca="false">V59+V60</f>
        <v>2974.77578832555</v>
      </c>
      <c r="W61" s="13" t="n">
        <f aca="false">W59+W60</f>
        <v>2974.77578832555</v>
      </c>
      <c r="X61" s="13" t="n">
        <f aca="false">X59+X60</f>
        <v>2974.77578832555</v>
      </c>
      <c r="Y61" s="13" t="n">
        <f aca="false">Y59+Y60</f>
        <v>2974.77578832555</v>
      </c>
      <c r="Z61" s="13" t="n">
        <f aca="false">Z59+Z60</f>
        <v>2974.77578832555</v>
      </c>
      <c r="AA61" s="13" t="n">
        <f aca="false">AA59+AA60</f>
        <v>2974.77578832555</v>
      </c>
    </row>
    <row r="62" customFormat="false" ht="15" hidden="false" customHeight="false" outlineLevel="0" collapsed="false">
      <c r="A62" s="3" t="s">
        <v>37</v>
      </c>
      <c r="B62" s="13" t="n">
        <v>0</v>
      </c>
      <c r="C62" s="12" t="n">
        <v>1472.6</v>
      </c>
      <c r="D62" s="13" t="n">
        <f aca="false">C62*(1+Inputs!$C$11)</f>
        <v>1509.415</v>
      </c>
      <c r="E62" s="13" t="n">
        <f aca="false">D62*(1+Inputs!$C$11)</f>
        <v>1547.150375</v>
      </c>
      <c r="F62" s="13" t="n">
        <f aca="false">E62*(1+Inputs!$C$11)</f>
        <v>1585.829134375</v>
      </c>
      <c r="G62" s="13" t="n">
        <f aca="false">F62*(1+Inputs!$C$11)</f>
        <v>1625.47486273437</v>
      </c>
      <c r="H62" s="13" t="n">
        <f aca="false">G62*(1+Inputs!$C$11)</f>
        <v>1666.11173430273</v>
      </c>
      <c r="I62" s="13" t="n">
        <f aca="false">H62*(1+Inputs!$C$11)</f>
        <v>1707.7645276603</v>
      </c>
      <c r="J62" s="13" t="n">
        <f aca="false">I62*(1+Inputs!$C$11)</f>
        <v>1750.45864085181</v>
      </c>
      <c r="K62" s="13" t="n">
        <f aca="false">J62*(1+Inputs!$C$11)</f>
        <v>1794.2201068731</v>
      </c>
      <c r="L62" s="13" t="n">
        <f aca="false">K62*(1+Inputs!$C$11)</f>
        <v>1839.07560954493</v>
      </c>
      <c r="M62" s="13" t="n">
        <f aca="false">L62*(1+Inputs!$C$11)</f>
        <v>1885.05249978355</v>
      </c>
      <c r="N62" s="13" t="n">
        <f aca="false">M62*(1+Inputs!$C$11)</f>
        <v>1932.17881227814</v>
      </c>
      <c r="O62" s="13" t="n">
        <f aca="false">N62*(1+Inputs!$C$11)</f>
        <v>1980.4832825851</v>
      </c>
      <c r="P62" s="13" t="n">
        <f aca="false">O62*(1+Inputs!$C$11)</f>
        <v>2029.99536464972</v>
      </c>
      <c r="Q62" s="13" t="n">
        <f aca="false">P62*(1+Inputs!$C$11)</f>
        <v>2080.74524876597</v>
      </c>
      <c r="R62" s="13" t="n">
        <f aca="false">Q62*(1+Inputs!$C$11)</f>
        <v>2132.76387998512</v>
      </c>
      <c r="S62" s="13" t="n">
        <f aca="false">R62*(1+Inputs!$C$11)</f>
        <v>2186.08297698474</v>
      </c>
      <c r="T62" s="13" t="n">
        <f aca="false">S62*(1+Inputs!$C$11)</f>
        <v>2240.73505140936</v>
      </c>
      <c r="U62" s="13" t="n">
        <f aca="false">T62*(1+Inputs!$C$11)</f>
        <v>2296.7534276946</v>
      </c>
      <c r="V62" s="13" t="n">
        <f aca="false">U62*(1+Inputs!$C$11)</f>
        <v>2354.17226338696</v>
      </c>
      <c r="W62" s="13" t="n">
        <f aca="false">V62*(1+Inputs!$C$11)</f>
        <v>2413.02656997163</v>
      </c>
      <c r="X62" s="13" t="n">
        <f aca="false">W62*(1+Inputs!$C$11)</f>
        <v>2473.35223422093</v>
      </c>
      <c r="Y62" s="13" t="n">
        <f aca="false">X62*(1+Inputs!$C$11)</f>
        <v>2535.18604007645</v>
      </c>
      <c r="Z62" s="13" t="n">
        <f aca="false">Y62*(1+Inputs!$C$11)</f>
        <v>2598.56569107836</v>
      </c>
      <c r="AA62" s="13" t="n">
        <f aca="false">Z62*(1+Inputs!$C$11)</f>
        <v>2663.52983335532</v>
      </c>
    </row>
    <row r="63" customFormat="false" ht="15" hidden="false" customHeight="false" outlineLevel="0" collapsed="false">
      <c r="A63" s="3" t="s">
        <v>38</v>
      </c>
      <c r="B63" s="13" t="n">
        <v>0</v>
      </c>
      <c r="C63" s="12" t="n">
        <v>897.93</v>
      </c>
      <c r="D63" s="13" t="n">
        <f aca="false">D62-574.67*(1+Inputs!$C$11)^(2-1)</f>
        <v>920.37825</v>
      </c>
      <c r="E63" s="13" t="n">
        <f aca="false">E62-574.67*(1+Inputs!$C$11)^(3-1)</f>
        <v>943.38770625</v>
      </c>
      <c r="F63" s="13" t="n">
        <f aca="false">F62-574.67*(1+Inputs!$C$11)^(4-1)</f>
        <v>966.97239890625</v>
      </c>
      <c r="G63" s="13" t="n">
        <f aca="false">G62-574.67*(1+Inputs!$C$11)^(5-1)</f>
        <v>991.146708878906</v>
      </c>
      <c r="H63" s="13" t="n">
        <f aca="false">H62-574.67*(1+Inputs!$C$11)^(6-1)</f>
        <v>1015.92537660088</v>
      </c>
      <c r="I63" s="13" t="n">
        <f aca="false">I62-574.67*(1+Inputs!$C$11)^(7-1)</f>
        <v>1041.3235110159</v>
      </c>
      <c r="J63" s="13" t="n">
        <f aca="false">J62-574.67*(1+Inputs!$C$11)^(8-1)</f>
        <v>1067.3565987913</v>
      </c>
      <c r="K63" s="13" t="n">
        <f aca="false">K62-574.67*(1+Inputs!$C$11)^(9-1)</f>
        <v>1094.04051376108</v>
      </c>
      <c r="L63" s="13" t="n">
        <f aca="false">L62-574.67*(1+Inputs!$C$11)^(10-1)</f>
        <v>1121.39152660511</v>
      </c>
      <c r="M63" s="13" t="n">
        <f aca="false">M62-574.67*(1+Inputs!$C$11)^(11-1)</f>
        <v>1149.42631477023</v>
      </c>
      <c r="N63" s="13" t="n">
        <f aca="false">N62-574.67*(1+Inputs!$C$11)^(12-1)</f>
        <v>1178.16197263949</v>
      </c>
      <c r="O63" s="13" t="n">
        <f aca="false">O62-574.67*(1+Inputs!$C$11)^(13-1)</f>
        <v>1207.61602195548</v>
      </c>
      <c r="P63" s="13" t="n">
        <f aca="false">P62-574.67*(1+Inputs!$C$11)^(14-1)</f>
        <v>1237.80642250436</v>
      </c>
      <c r="Q63" s="13" t="n">
        <f aca="false">Q62-574.67*(1+Inputs!$C$11)^(15-1)</f>
        <v>1268.75158306697</v>
      </c>
      <c r="R63" s="13" t="n">
        <f aca="false">R62-574.67*(1+Inputs!$C$11)^(16-1)</f>
        <v>1300.47037264365</v>
      </c>
      <c r="S63" s="13" t="n">
        <f aca="false">S62-574.67*(1+Inputs!$C$11)^(17-1)</f>
        <v>1332.98213195974</v>
      </c>
      <c r="T63" s="13" t="n">
        <f aca="false">T62-574.67*(1+Inputs!$C$11)^(18-1)</f>
        <v>1366.30668525873</v>
      </c>
      <c r="U63" s="13" t="n">
        <f aca="false">U62-574.67*(1+Inputs!$C$11)^(19-1)</f>
        <v>1400.4643523902</v>
      </c>
      <c r="V63" s="13" t="n">
        <f aca="false">V62-574.67*(1+Inputs!$C$11)^(20-1)</f>
        <v>1435.47596119996</v>
      </c>
      <c r="W63" s="13" t="n">
        <f aca="false">W62-574.67*(1+Inputs!$C$11)^(21-1)</f>
        <v>1471.36286022995</v>
      </c>
      <c r="X63" s="13" t="n">
        <f aca="false">X62-574.67*(1+Inputs!$C$11)^(22-1)</f>
        <v>1508.1469317357</v>
      </c>
      <c r="Y63" s="13" t="n">
        <f aca="false">Y62-574.67*(1+Inputs!$C$11)^(23-1)</f>
        <v>1545.85060502909</v>
      </c>
      <c r="Z63" s="13" t="n">
        <f aca="false">Z62-574.67*(1+Inputs!$C$11)^(24-1)</f>
        <v>1584.49687015482</v>
      </c>
      <c r="AA63" s="13" t="n">
        <f aca="false">AA62-574.67*(1+Inputs!$C$11)^(25-1)</f>
        <v>1624.10929190869</v>
      </c>
    </row>
    <row r="64" customFormat="false" ht="15" hidden="false" customHeight="false" outlineLevel="0" collapsed="false">
      <c r="A64" s="3" t="s">
        <v>39</v>
      </c>
      <c r="B64" s="13" t="n">
        <v>0</v>
      </c>
      <c r="C64" s="13" t="n">
        <f aca="false">C62-C63</f>
        <v>574.67</v>
      </c>
      <c r="D64" s="13" t="n">
        <f aca="false">D62-D63</f>
        <v>589.03675</v>
      </c>
      <c r="E64" s="13" t="n">
        <f aca="false">E62-E63</f>
        <v>603.76266875</v>
      </c>
      <c r="F64" s="13" t="n">
        <f aca="false">F62-F63</f>
        <v>618.85673546875</v>
      </c>
      <c r="G64" s="13" t="n">
        <f aca="false">G62-G63</f>
        <v>634.328153855469</v>
      </c>
      <c r="H64" s="13" t="n">
        <f aca="false">H62-H63</f>
        <v>650.186357701855</v>
      </c>
      <c r="I64" s="13" t="n">
        <f aca="false">I62-I63</f>
        <v>666.441016644401</v>
      </c>
      <c r="J64" s="13" t="n">
        <f aca="false">J62-J63</f>
        <v>683.102042060511</v>
      </c>
      <c r="K64" s="13" t="n">
        <f aca="false">K62-K63</f>
        <v>700.179593112024</v>
      </c>
      <c r="L64" s="13" t="n">
        <f aca="false">L62-L63</f>
        <v>717.684082939825</v>
      </c>
      <c r="M64" s="13" t="n">
        <f aca="false">M62-M63</f>
        <v>735.62618501332</v>
      </c>
      <c r="N64" s="13" t="n">
        <f aca="false">N62-N63</f>
        <v>754.016839638653</v>
      </c>
      <c r="O64" s="13" t="n">
        <f aca="false">O62-O63</f>
        <v>772.86726062962</v>
      </c>
      <c r="P64" s="13" t="n">
        <f aca="false">P62-P63</f>
        <v>792.18894214536</v>
      </c>
      <c r="Q64" s="13" t="n">
        <f aca="false">Q62-Q63</f>
        <v>811.993665698994</v>
      </c>
      <c r="R64" s="13" t="n">
        <f aca="false">R62-R63</f>
        <v>832.293507341469</v>
      </c>
      <c r="S64" s="13" t="n">
        <f aca="false">S62-S63</f>
        <v>853.100845025005</v>
      </c>
      <c r="T64" s="13" t="n">
        <f aca="false">T62-T63</f>
        <v>874.42836615063</v>
      </c>
      <c r="U64" s="13" t="n">
        <f aca="false">U62-U63</f>
        <v>896.289075304396</v>
      </c>
      <c r="V64" s="13" t="n">
        <f aca="false">V62-V63</f>
        <v>918.696302187006</v>
      </c>
      <c r="W64" s="13" t="n">
        <f aca="false">W62-W63</f>
        <v>941.663709741681</v>
      </c>
      <c r="X64" s="13" t="n">
        <f aca="false">X62-X63</f>
        <v>965.205302485223</v>
      </c>
      <c r="Y64" s="13" t="n">
        <f aca="false">Y62-Y63</f>
        <v>989.335435047353</v>
      </c>
      <c r="Z64" s="13" t="n">
        <f aca="false">Z62-Z63</f>
        <v>1014.06882092354</v>
      </c>
      <c r="AA64" s="13" t="n">
        <f aca="false">AA62-AA63</f>
        <v>1039.42054144663</v>
      </c>
    </row>
    <row r="65" customFormat="false" ht="15" hidden="false" customHeight="false" outlineLevel="0" collapsed="false">
      <c r="A65" s="3" t="s">
        <v>40</v>
      </c>
      <c r="B65" s="13" t="n">
        <v>0</v>
      </c>
      <c r="C65" s="12" t="n">
        <v>0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</row>
    <row r="66" customFormat="false" ht="15" hidden="false" customHeight="false" outlineLevel="0" collapsed="false">
      <c r="A66" s="3" t="s">
        <v>41</v>
      </c>
      <c r="B66" s="13" t="n">
        <v>0</v>
      </c>
      <c r="C66" s="13" t="n">
        <f aca="false">C64+C65</f>
        <v>574.67</v>
      </c>
      <c r="D66" s="13" t="n">
        <f aca="false">D64+D65</f>
        <v>589.03675</v>
      </c>
      <c r="E66" s="13" t="n">
        <f aca="false">E64+E65</f>
        <v>603.76266875</v>
      </c>
      <c r="F66" s="13" t="n">
        <f aca="false">F64+F65</f>
        <v>618.85673546875</v>
      </c>
      <c r="G66" s="13" t="n">
        <f aca="false">G64+G65</f>
        <v>634.328153855469</v>
      </c>
      <c r="H66" s="13" t="n">
        <f aca="false">H64+H65</f>
        <v>650.186357701855</v>
      </c>
      <c r="I66" s="13" t="n">
        <f aca="false">I64+I65</f>
        <v>666.441016644401</v>
      </c>
      <c r="J66" s="13" t="n">
        <f aca="false">J64+J65</f>
        <v>683.102042060511</v>
      </c>
      <c r="K66" s="13" t="n">
        <f aca="false">K64+K65</f>
        <v>700.179593112024</v>
      </c>
      <c r="L66" s="13" t="n">
        <f aca="false">L64+L65</f>
        <v>717.684082939825</v>
      </c>
      <c r="M66" s="13" t="n">
        <f aca="false">M64+M65</f>
        <v>735.62618501332</v>
      </c>
      <c r="N66" s="13" t="n">
        <f aca="false">N64+N65</f>
        <v>754.016839638653</v>
      </c>
      <c r="O66" s="13" t="n">
        <f aca="false">O64+O65</f>
        <v>772.86726062962</v>
      </c>
      <c r="P66" s="13" t="n">
        <f aca="false">P64+P65</f>
        <v>792.18894214536</v>
      </c>
      <c r="Q66" s="13" t="n">
        <f aca="false">Q64+Q65</f>
        <v>811.993665698994</v>
      </c>
      <c r="R66" s="13" t="n">
        <f aca="false">R64+R65</f>
        <v>832.293507341469</v>
      </c>
      <c r="S66" s="13" t="n">
        <f aca="false">S64+S65</f>
        <v>853.100845025005</v>
      </c>
      <c r="T66" s="13" t="n">
        <f aca="false">T64+T65</f>
        <v>874.42836615063</v>
      </c>
      <c r="U66" s="13" t="n">
        <f aca="false">U64+U65</f>
        <v>896.289075304396</v>
      </c>
      <c r="V66" s="13" t="n">
        <f aca="false">V64+V65</f>
        <v>918.696302187006</v>
      </c>
      <c r="W66" s="13" t="n">
        <f aca="false">W64+W65</f>
        <v>941.663709741681</v>
      </c>
      <c r="X66" s="13" t="n">
        <f aca="false">X64+X65</f>
        <v>965.205302485223</v>
      </c>
      <c r="Y66" s="13" t="n">
        <f aca="false">Y64+Y65</f>
        <v>989.335435047353</v>
      </c>
      <c r="Z66" s="13" t="n">
        <f aca="false">Z64+Z65</f>
        <v>1014.06882092354</v>
      </c>
      <c r="AA66" s="13" t="n">
        <f aca="false">AA64+AA65</f>
        <v>1039.42054144663</v>
      </c>
    </row>
    <row r="67" customFormat="false" ht="15" hidden="false" customHeight="false" outlineLevel="0" collapsed="false">
      <c r="A67" s="3" t="s">
        <v>42</v>
      </c>
      <c r="B67" s="13" t="n">
        <v>0</v>
      </c>
      <c r="C67" s="13" t="n">
        <f aca="false">C66-C61</f>
        <v>-2400.10578832555</v>
      </c>
      <c r="D67" s="13" t="n">
        <f aca="false">D66-D61</f>
        <v>-2385.73903832555</v>
      </c>
      <c r="E67" s="13" t="n">
        <f aca="false">E66-E61</f>
        <v>-2371.01311957555</v>
      </c>
      <c r="F67" s="13" t="n">
        <f aca="false">F66-F61</f>
        <v>-2355.9190528568</v>
      </c>
      <c r="G67" s="13" t="n">
        <f aca="false">G66-G61</f>
        <v>-2340.44763447008</v>
      </c>
      <c r="H67" s="13" t="n">
        <f aca="false">H66-H61</f>
        <v>-2324.58943062369</v>
      </c>
      <c r="I67" s="13" t="n">
        <f aca="false">I66-I61</f>
        <v>-2308.33477168115</v>
      </c>
      <c r="J67" s="13" t="n">
        <f aca="false">J66-J61</f>
        <v>-2291.67374626504</v>
      </c>
      <c r="K67" s="13" t="n">
        <f aca="false">K66-K61</f>
        <v>-2274.59619521353</v>
      </c>
      <c r="L67" s="13" t="n">
        <f aca="false">L66-L61</f>
        <v>-2257.09170538572</v>
      </c>
      <c r="M67" s="13" t="n">
        <f aca="false">M66-M61</f>
        <v>-2239.14960331223</v>
      </c>
      <c r="N67" s="13" t="n">
        <f aca="false">N66-N61</f>
        <v>-2220.7589486869</v>
      </c>
      <c r="O67" s="13" t="n">
        <f aca="false">O66-O61</f>
        <v>-2201.90852769593</v>
      </c>
      <c r="P67" s="13" t="n">
        <f aca="false">P66-P61</f>
        <v>-2182.58684618019</v>
      </c>
      <c r="Q67" s="13" t="n">
        <f aca="false">Q66-Q61</f>
        <v>-2162.78212262656</v>
      </c>
      <c r="R67" s="13" t="n">
        <f aca="false">R66-R61</f>
        <v>-2142.48228098408</v>
      </c>
      <c r="S67" s="13" t="n">
        <f aca="false">S66-S61</f>
        <v>-2121.67494330054</v>
      </c>
      <c r="T67" s="13" t="n">
        <f aca="false">T66-T61</f>
        <v>-2100.34742217492</v>
      </c>
      <c r="U67" s="13" t="n">
        <f aca="false">U66-U61</f>
        <v>-2078.48671302115</v>
      </c>
      <c r="V67" s="13" t="n">
        <f aca="false">V66-V61</f>
        <v>-2056.07948613854</v>
      </c>
      <c r="W67" s="13" t="n">
        <f aca="false">W66-W61</f>
        <v>-2033.11207858387</v>
      </c>
      <c r="X67" s="13" t="n">
        <f aca="false">X66-X61</f>
        <v>-2009.57048584033</v>
      </c>
      <c r="Y67" s="13" t="n">
        <f aca="false">Y66-Y61</f>
        <v>-1985.4403532782</v>
      </c>
      <c r="Z67" s="13" t="n">
        <f aca="false">Z66-Z61</f>
        <v>-1960.70696740201</v>
      </c>
      <c r="AA67" s="13" t="n">
        <f aca="false">AA66-AA61</f>
        <v>-1935.35524687892</v>
      </c>
    </row>
    <row r="68" customFormat="false" ht="15" hidden="false" customHeight="false" outlineLevel="0" collapsed="false">
      <c r="A68" s="3" t="s">
        <v>43</v>
      </c>
      <c r="B68" s="13" t="n">
        <v>0</v>
      </c>
      <c r="C68" s="13" t="n">
        <f aca="false">C67/(1+Inputs!$C$10)^1</f>
        <v>-2255.73852286236</v>
      </c>
      <c r="D68" s="13" t="n">
        <f aca="false">C68+D67/(1+Inputs!$C$10)^2</f>
        <v>-4363.10312650511</v>
      </c>
      <c r="E68" s="13" t="n">
        <f aca="false">D68+E67/(1+Inputs!$C$10)^3</f>
        <v>-6331.48371355318</v>
      </c>
      <c r="F68" s="13" t="n">
        <f aca="false">E68+F67/(1+Inputs!$C$10)^4</f>
        <v>-8169.68833058206</v>
      </c>
      <c r="G68" s="13" t="n">
        <f aca="false">F68+G67/(1+Inputs!$C$10)^5</f>
        <v>-9885.97879192648</v>
      </c>
      <c r="H68" s="13" t="n">
        <f aca="false">G68+H67/(1+Inputs!$C$10)^6</f>
        <v>-11488.1041377965</v>
      </c>
      <c r="I68" s="13" t="n">
        <f aca="false">H68+I67/(1+Inputs!$C$10)^7</f>
        <v>-12983.3320578082</v>
      </c>
      <c r="J68" s="13" t="n">
        <f aca="false">I68+J67/(1+Inputs!$C$10)^8</f>
        <v>-14378.4784031185</v>
      </c>
      <c r="K68" s="13" t="n">
        <f aca="false">J68+K67/(1+Inputs!$C$10)^9</f>
        <v>-15679.9349029149</v>
      </c>
      <c r="L68" s="13" t="n">
        <f aca="false">K68+L67/(1+Inputs!$C$10)^10</f>
        <v>-16893.6951940195</v>
      </c>
      <c r="M68" s="13" t="n">
        <f aca="false">L68+M67/(1+Inputs!$C$10)^11</f>
        <v>-18025.3792657967</v>
      </c>
      <c r="N68" s="13" t="n">
        <f aca="false">M68+N67/(1+Inputs!$C$10)^12</f>
        <v>-19080.2564163818</v>
      </c>
      <c r="O68" s="13" t="n">
        <f aca="false">N68+O67/(1+Inputs!$C$10)^13</f>
        <v>-20063.2668104466</v>
      </c>
      <c r="P68" s="13" t="n">
        <f aca="false">O68+P67/(1+Inputs!$C$10)^14</f>
        <v>-20979.0417232652</v>
      </c>
      <c r="Q68" s="13" t="n">
        <f aca="false">P68+Q67/(1+Inputs!$C$10)^15</f>
        <v>-21831.9225507237</v>
      </c>
      <c r="R68" s="13" t="n">
        <f aca="false">Q68+R67/(1+Inputs!$C$10)^16</f>
        <v>-22625.9786601023</v>
      </c>
      <c r="S68" s="13" t="n">
        <f aca="false">R68+S67/(1+Inputs!$C$10)^17</f>
        <v>-23365.0241519353</v>
      </c>
      <c r="T68" s="13" t="n">
        <f aca="false">S68+T67/(1+Inputs!$C$10)^18</f>
        <v>-24052.6335990054</v>
      </c>
      <c r="U68" s="13" t="n">
        <f aca="false">T68+U67/(1+Inputs!$C$10)^19</f>
        <v>-24692.1568245343</v>
      </c>
      <c r="V68" s="13" t="n">
        <f aca="false">U68+V67/(1+Inputs!$C$10)^20</f>
        <v>-25286.7327778791</v>
      </c>
      <c r="W68" s="13" t="n">
        <f aca="false">V68+W67/(1+Inputs!$C$10)^21</f>
        <v>-25839.3025625171</v>
      </c>
      <c r="X68" s="13" t="n">
        <f aca="false">W68+X67/(1+Inputs!$C$10)^22</f>
        <v>-26352.6216677896</v>
      </c>
      <c r="Y68" s="13" t="n">
        <f aca="false">X68+Y67/(1+Inputs!$C$10)^23</f>
        <v>-26829.2714527603</v>
      </c>
      <c r="Z68" s="13" t="n">
        <f aca="false">Y68+Z67/(1+Inputs!$C$10)^24</f>
        <v>-27271.669927619</v>
      </c>
      <c r="AA68" s="13" t="n">
        <f aca="false">Z68+AA67/(1+Inputs!$C$10)^25</f>
        <v>-27682.081875312</v>
      </c>
    </row>
    <row r="69" customFormat="false" ht="15" hidden="false" customHeight="false" outlineLevel="0" collapsed="false">
      <c r="A69" s="14" t="s">
        <v>44</v>
      </c>
      <c r="B69" s="15" t="n">
        <f aca="false">IF((C64+C65)&gt;0,B58/(C64+C65),"N/A")</f>
        <v>59.0425809595072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2026-03-23T15:35:40Z</dcterms:created>
  <dc:creator>Duke NSOE MEM 2026 Cohort</dc:creator>
  <dc:description/>
  <dc:language>en-US</dc:language>
  <cp:lastModifiedBy>Duke NSOE MEM 2026 Cohort</cp:lastModifiedBy>
  <dcterms:modified xsi:type="dcterms:W3CDTF">2026-04-17T20:18:43Z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