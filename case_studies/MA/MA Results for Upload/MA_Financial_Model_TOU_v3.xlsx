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TOU NM" sheetId="2" state="visible" r:id="rId2"/>
    <sheet xmlns:r="http://schemas.openxmlformats.org/officeDocument/2006/relationships" name="TOU NB75" sheetId="3" state="visible" r:id="rId3"/>
    <sheet xmlns:r="http://schemas.openxmlformats.org/officeDocument/2006/relationships" name="TOU NB50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&quot;-&quot;"/>
    <numFmt numFmtId="165" formatCode="0.0%"/>
    <numFmt numFmtId="166" formatCode="0.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666666"/>
      <sz val="9"/>
    </font>
    <font>
      <name val="Arial"/>
      <b val="1"/>
      <color rgb="00FFFFFF"/>
      <sz val="11"/>
    </font>
    <font>
      <name val="Arial"/>
      <color rgb="00008000"/>
      <sz val="1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3" fillId="0" borderId="0" pivotButton="0" quotePrefix="0" xfId="0"/>
    <xf numFmtId="165" fontId="4" fillId="0" borderId="0" pivotButton="0" quotePrefix="0" xfId="0"/>
    <xf numFmtId="0" fontId="6" fillId="2" borderId="0" pivotButton="0" quotePrefix="0" xfId="0"/>
    <xf numFmtId="0" fontId="0" fillId="2" borderId="0" pivotButton="0" quotePrefix="0" xfId="0"/>
    <xf numFmtId="164" fontId="7" fillId="0" borderId="0" pivotButton="0" quotePrefix="0" xfId="0"/>
    <xf numFmtId="0" fontId="8" fillId="0" borderId="0" pivotButton="0" quotePrefix="0" xfId="0"/>
    <xf numFmtId="166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46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8" customWidth="1" min="4" max="4"/>
    <col width="40" customWidth="1" min="5" max="5"/>
  </cols>
  <sheetData>
    <row r="1">
      <c r="B1" s="1" t="inlineStr">
        <is>
          <t>MA E3 TOU Sensitivity — Input Parameters</t>
        </is>
      </c>
    </row>
    <row r="3">
      <c r="B3" s="2" t="inlineStr">
        <is>
          <t>SYSTEM SPECIFICATIONS</t>
        </is>
      </c>
    </row>
    <row r="4">
      <c r="B4" s="3" t="inlineStr">
        <is>
          <t>PV Capacity</t>
        </is>
      </c>
      <c r="C4" s="4" t="n">
        <v>4.72</v>
      </c>
      <c r="D4" s="5" t="inlineStr">
        <is>
          <t>kW</t>
        </is>
      </c>
      <c r="E4" s="5" t="inlineStr">
        <is>
          <t>State median (MA)</t>
        </is>
      </c>
    </row>
    <row r="5">
      <c r="B5" s="3" t="inlineStr">
        <is>
          <t>Battery Capacity</t>
        </is>
      </c>
      <c r="C5" s="4" t="n">
        <v>13.5</v>
      </c>
      <c r="D5" s="5" t="inlineStr">
        <is>
          <t>kWh</t>
        </is>
      </c>
    </row>
    <row r="6">
      <c r="B6" s="3" t="inlineStr">
        <is>
          <t>Battery Power</t>
        </is>
      </c>
      <c r="C6" s="4" t="n">
        <v>5</v>
      </c>
      <c r="D6" s="5" t="inlineStr">
        <is>
          <t>kW</t>
        </is>
      </c>
    </row>
    <row r="7">
      <c r="B7" s="3" t="inlineStr">
        <is>
          <t>PV Annual Generation</t>
        </is>
      </c>
      <c r="C7" s="4" t="n">
        <v>5794</v>
      </c>
      <c r="D7" s="5" t="inlineStr">
        <is>
          <t>kWh</t>
        </is>
      </c>
      <c r="E7" s="5" t="inlineStr">
        <is>
          <t>PySAM v3, Boston 2023</t>
        </is>
      </c>
    </row>
    <row r="9">
      <c r="B9" s="2" t="inlineStr">
        <is>
          <t>SYSTEM COSTS (Tao Sun MA)</t>
        </is>
      </c>
    </row>
    <row r="10">
      <c r="B10" s="3" t="inlineStr">
        <is>
          <t>Solar $/kW</t>
        </is>
      </c>
      <c r="C10" s="4" t="n">
        <v>3540</v>
      </c>
      <c r="E10" s="5" t="inlineStr">
        <is>
          <t>Tao Sun Supp Table 15</t>
        </is>
      </c>
    </row>
    <row r="11">
      <c r="B11" s="3" t="inlineStr">
        <is>
          <t>Solar Total</t>
        </is>
      </c>
      <c r="C11" s="6">
        <f>C4*C10</f>
        <v/>
      </c>
    </row>
    <row r="12">
      <c r="B12" s="3" t="inlineStr">
        <is>
          <t>Battery $/kWh</t>
        </is>
      </c>
      <c r="C12" s="4" t="n">
        <v>1488</v>
      </c>
      <c r="E12" s="5" t="inlineStr">
        <is>
          <t>Tao Sun Supp Table 15</t>
        </is>
      </c>
    </row>
    <row r="13">
      <c r="B13" s="3" t="inlineStr">
        <is>
          <t>Battery Total</t>
        </is>
      </c>
      <c r="C13" s="6">
        <f>C5*C12</f>
        <v/>
      </c>
    </row>
    <row r="14">
      <c r="B14" s="3" t="inlineStr">
        <is>
          <t>PV+S Total</t>
        </is>
      </c>
      <c r="C14" s="6">
        <f>C11+C13</f>
        <v/>
      </c>
    </row>
    <row r="16">
      <c r="B16" s="2" t="inlineStr">
        <is>
          <t>FINANCIAL PARAMETERS</t>
        </is>
      </c>
    </row>
    <row r="17">
      <c r="B17" s="3" t="inlineStr">
        <is>
          <t>Loan Interest Rate</t>
        </is>
      </c>
      <c r="C17" s="7" t="n">
        <v>0.07240000000000001</v>
      </c>
    </row>
    <row r="18">
      <c r="B18" s="3" t="inlineStr">
        <is>
          <t>Loan Term</t>
        </is>
      </c>
      <c r="C18" s="4" t="n">
        <v>25</v>
      </c>
      <c r="D18" s="5" t="inlineStr">
        <is>
          <t>years</t>
        </is>
      </c>
    </row>
    <row r="19">
      <c r="B19" s="3" t="inlineStr">
        <is>
          <t>Customer Discount Rate</t>
        </is>
      </c>
      <c r="C19" s="7" t="n">
        <v>0.064</v>
      </c>
    </row>
    <row r="20">
      <c r="B20" s="3" t="inlineStr">
        <is>
          <t>Electricity Cost Escalation</t>
        </is>
      </c>
      <c r="C20" s="7" t="n">
        <v>0.025</v>
      </c>
    </row>
    <row r="22">
      <c r="B22" s="2" t="inlineStr">
        <is>
          <t>E3 TOU RATES (2035 Illustrative)</t>
        </is>
      </c>
      <c r="E22" s="5" t="inlineStr">
        <is>
          <t>E3 Long-Term Ratemaking Study (Feb 2025), Fig 8</t>
        </is>
      </c>
    </row>
    <row r="23">
      <c r="B23" s="3" t="inlineStr">
        <is>
          <t>Winter On-Peak (5-8pm)</t>
        </is>
      </c>
      <c r="C23" s="4" t="n">
        <v>0.43</v>
      </c>
      <c r="D23" s="5" t="inlineStr">
        <is>
          <t>$/kWh</t>
        </is>
      </c>
    </row>
    <row r="24">
      <c r="B24" s="3" t="inlineStr">
        <is>
          <t>Winter Mid-Peak</t>
        </is>
      </c>
      <c r="C24" s="4" t="n">
        <v>0.33</v>
      </c>
    </row>
    <row r="25">
      <c r="B25" s="3" t="inlineStr">
        <is>
          <t>Winter Off-Peak</t>
        </is>
      </c>
      <c r="C25" s="4" t="n">
        <v>0.21</v>
      </c>
    </row>
    <row r="26">
      <c r="B26" s="3" t="inlineStr">
        <is>
          <t>Summer On-Peak (5-8pm)</t>
        </is>
      </c>
      <c r="C26" s="4" t="n">
        <v>0.27</v>
      </c>
    </row>
    <row r="27">
      <c r="B27" s="3" t="inlineStr">
        <is>
          <t>Summer Mid-Peak</t>
        </is>
      </c>
      <c r="C27" s="4" t="n">
        <v>0.23</v>
      </c>
    </row>
    <row r="28">
      <c r="B28" s="3" t="inlineStr">
        <is>
          <t>Summer Off-Peak</t>
        </is>
      </c>
      <c r="C28" s="4" t="n">
        <v>0.19</v>
      </c>
    </row>
    <row r="29">
      <c r="B29" s="3" t="inlineStr">
        <is>
          <t>Fixed Monthly Charge</t>
        </is>
      </c>
      <c r="C29" s="4" t="n">
        <v>40</v>
      </c>
      <c r="D29" s="5" t="inlineStr">
        <is>
          <t>$/mo</t>
        </is>
      </c>
    </row>
    <row r="30">
      <c r="B30" s="3" t="inlineStr">
        <is>
          <t>Bill w/o System (E3 TOU)</t>
        </is>
      </c>
      <c r="C30" s="4" t="n">
        <v>2852.74</v>
      </c>
      <c r="D30" s="5" t="inlineStr">
        <is>
          <t>$/yr</t>
        </is>
      </c>
      <c r="E30" s="5" t="inlineStr">
        <is>
          <t>PySAM v3</t>
        </is>
      </c>
    </row>
    <row r="32">
      <c r="B32" s="2" t="inlineStr">
        <is>
          <t>INCENTIVES</t>
        </is>
      </c>
    </row>
    <row r="33">
      <c r="B33" s="3" t="inlineStr">
        <is>
          <t>Federal ITC</t>
        </is>
      </c>
      <c r="C33" s="4" t="n">
        <v>0</v>
      </c>
      <c r="D33" s="5" t="inlineStr">
        <is>
          <t>%</t>
        </is>
      </c>
      <c r="E33" s="5" t="inlineStr">
        <is>
          <t>Expired Dec 2025</t>
        </is>
      </c>
    </row>
    <row r="34">
      <c r="B34" s="3" t="inlineStr">
        <is>
          <t>State Tax Credit</t>
        </is>
      </c>
      <c r="C34" s="4" t="n">
        <v>1000</v>
      </c>
      <c r="D34" s="5" t="inlineStr">
        <is>
          <t>$</t>
        </is>
      </c>
      <c r="E34" s="5" t="inlineStr">
        <is>
          <t>15% cap $1,000, Mass.gov</t>
        </is>
      </c>
    </row>
    <row r="35">
      <c r="B35" s="3" t="inlineStr">
        <is>
          <t>SMART Solar Only $/yr</t>
        </is>
      </c>
      <c r="C35" s="4" t="n">
        <v>348</v>
      </c>
      <c r="E35" s="5" t="inlineStr">
        <is>
          <t>5,794 kWh × $0.06, 225 CMR 28.13</t>
        </is>
      </c>
    </row>
    <row r="36">
      <c r="B36" s="3" t="inlineStr">
        <is>
          <t>SMART PV+S $/yr</t>
        </is>
      </c>
      <c r="C36" s="4" t="n">
        <v>579</v>
      </c>
      <c r="E36" s="5" t="inlineStr">
        <is>
          <t>5,794 kWh × $0.10, 225 CMR 28.13</t>
        </is>
      </c>
    </row>
    <row r="37">
      <c r="B37" s="3" t="inlineStr">
        <is>
          <t>ConnectedSolutions $/yr</t>
        </is>
      </c>
      <c r="C37" s="4" t="n">
        <v>1375</v>
      </c>
      <c r="E37" s="5" t="inlineStr">
        <is>
          <t>$275/kW × 5kW, MassSave</t>
        </is>
      </c>
    </row>
    <row r="38">
      <c r="B38" s="3" t="inlineStr">
        <is>
          <t>SMART Term</t>
        </is>
      </c>
      <c r="C38" s="4" t="n">
        <v>20</v>
      </c>
      <c r="D38" s="5" t="inlineStr">
        <is>
          <t>years</t>
        </is>
      </c>
      <c r="E38" s="5" t="inlineStr">
        <is>
          <t>225 CMR 28.13(1)</t>
        </is>
      </c>
    </row>
    <row r="39">
      <c r="B39" s="3" t="inlineStr">
        <is>
          <t>ConnSol Lock Period</t>
        </is>
      </c>
      <c r="C39" s="4" t="n">
        <v>5</v>
      </c>
      <c r="D39" s="5" t="inlineStr">
        <is>
          <t>years</t>
        </is>
      </c>
      <c r="E39" s="5" t="inlineStr">
        <is>
          <t>Rate locked first 5 summers</t>
        </is>
      </c>
    </row>
    <row r="41">
      <c r="B41" s="2" t="inlineStr">
        <is>
          <t>PYSAM BILL SAVINGS (Year 1)</t>
        </is>
      </c>
    </row>
    <row r="42">
      <c r="B42" s="2" t="inlineStr">
        <is>
          <t>Export Scenario</t>
        </is>
      </c>
      <c r="C42" s="2" t="inlineStr">
        <is>
          <t>Solar Only</t>
        </is>
      </c>
      <c r="D42" s="2" t="inlineStr">
        <is>
          <t>PV+S</t>
        </is>
      </c>
    </row>
    <row r="43">
      <c r="B43" s="3" t="inlineStr">
        <is>
          <t>NM (1:1 at TOU)</t>
        </is>
      </c>
      <c r="C43" s="4" t="n">
        <v>1528.17</v>
      </c>
      <c r="D43" s="4" t="n">
        <v>1509.69</v>
      </c>
    </row>
    <row r="44">
      <c r="B44" s="3" t="inlineStr">
        <is>
          <t>NB100 (100%)</t>
        </is>
      </c>
      <c r="C44" s="4" t="n">
        <v>1528.17</v>
      </c>
      <c r="D44" s="4" t="n">
        <v>1509.69</v>
      </c>
    </row>
    <row r="45">
      <c r="B45" s="3" t="inlineStr">
        <is>
          <t>NB75 (75%)</t>
        </is>
      </c>
      <c r="C45" s="4" t="n">
        <v>1494.6</v>
      </c>
      <c r="D45" s="4" t="n">
        <v>1488.15</v>
      </c>
    </row>
    <row r="46">
      <c r="B46" s="3" t="inlineStr">
        <is>
          <t>NB50 (50%)</t>
        </is>
      </c>
      <c r="C46" s="4" t="n">
        <v>1307.57</v>
      </c>
      <c r="D46" s="4" t="n">
        <v>1320.44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/>
    <row r="2"/>
    <row r="3"/>
    <row r="4"/>
    <row r="5">
      <c r="A5" s="8" t="inlineStr">
        <is>
          <t>Solar Only — All Incentives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</row>
    <row r="6">
      <c r="A6" s="2" t="inlineStr">
        <is>
          <t>Year</t>
        </is>
      </c>
      <c r="B6" s="3" t="n">
        <v>0</v>
      </c>
      <c r="C6" s="3" t="n">
        <v>1</v>
      </c>
      <c r="D6" s="3" t="n">
        <v>2</v>
      </c>
      <c r="E6" s="3" t="n">
        <v>3</v>
      </c>
      <c r="F6" s="3" t="n">
        <v>4</v>
      </c>
      <c r="G6" s="3" t="n">
        <v>5</v>
      </c>
      <c r="H6" s="3" t="n">
        <v>6</v>
      </c>
      <c r="I6" s="3" t="n">
        <v>7</v>
      </c>
      <c r="J6" s="3" t="n">
        <v>8</v>
      </c>
      <c r="K6" s="3" t="n">
        <v>9</v>
      </c>
      <c r="L6" s="3" t="n">
        <v>10</v>
      </c>
      <c r="M6" s="3" t="n">
        <v>11</v>
      </c>
      <c r="N6" s="3" t="n">
        <v>12</v>
      </c>
      <c r="O6" s="3" t="n">
        <v>13</v>
      </c>
      <c r="P6" s="3" t="n">
        <v>14</v>
      </c>
      <c r="Q6" s="3" t="n">
        <v>15</v>
      </c>
      <c r="R6" s="3" t="n">
        <v>16</v>
      </c>
      <c r="S6" s="3" t="n">
        <v>17</v>
      </c>
      <c r="T6" s="3" t="n">
        <v>18</v>
      </c>
      <c r="U6" s="3" t="n">
        <v>19</v>
      </c>
      <c r="V6" s="3" t="n">
        <v>20</v>
      </c>
      <c r="W6" s="3" t="n">
        <v>21</v>
      </c>
      <c r="X6" s="3" t="n">
        <v>22</v>
      </c>
      <c r="Y6" s="3" t="n">
        <v>23</v>
      </c>
      <c r="Z6" s="3" t="n">
        <v>24</v>
      </c>
      <c r="AA6" s="3" t="n">
        <v>25</v>
      </c>
    </row>
    <row r="7">
      <c r="A7" s="3" t="inlineStr">
        <is>
          <t>Debt Balance ($)</t>
        </is>
      </c>
      <c r="B7" s="6">
        <f>Inputs!C11-Inputs!C34</f>
        <v/>
      </c>
      <c r="C7" s="6">
        <f>B7-C9</f>
        <v/>
      </c>
      <c r="D7" s="6">
        <f>C7-D9</f>
        <v/>
      </c>
      <c r="E7" s="6">
        <f>D7-E9</f>
        <v/>
      </c>
      <c r="F7" s="6">
        <f>E7-F9</f>
        <v/>
      </c>
      <c r="G7" s="6">
        <f>F7-G9</f>
        <v/>
      </c>
      <c r="H7" s="6">
        <f>G7-H9</f>
        <v/>
      </c>
      <c r="I7" s="6">
        <f>H7-I9</f>
        <v/>
      </c>
      <c r="J7" s="6">
        <f>I7-J9</f>
        <v/>
      </c>
      <c r="K7" s="6">
        <f>J7-K9</f>
        <v/>
      </c>
      <c r="L7" s="6">
        <f>K7-L9</f>
        <v/>
      </c>
      <c r="M7" s="6">
        <f>L7-M9</f>
        <v/>
      </c>
      <c r="N7" s="6">
        <f>M7-N9</f>
        <v/>
      </c>
      <c r="O7" s="6">
        <f>N7-O9</f>
        <v/>
      </c>
      <c r="P7" s="6">
        <f>O7-P9</f>
        <v/>
      </c>
      <c r="Q7" s="6">
        <f>P7-Q9</f>
        <v/>
      </c>
      <c r="R7" s="6">
        <f>Q7-R9</f>
        <v/>
      </c>
      <c r="S7" s="6">
        <f>R7-S9</f>
        <v/>
      </c>
      <c r="T7" s="6">
        <f>S7-T9</f>
        <v/>
      </c>
      <c r="U7" s="6">
        <f>T7-U9</f>
        <v/>
      </c>
      <c r="V7" s="6">
        <f>U7-V9</f>
        <v/>
      </c>
      <c r="W7" s="6">
        <f>V7-W9</f>
        <v/>
      </c>
      <c r="X7" s="6">
        <f>W7-X9</f>
        <v/>
      </c>
      <c r="Y7" s="6">
        <f>X7-Y9</f>
        <v/>
      </c>
      <c r="Z7" s="6">
        <f>Y7-Z9</f>
        <v/>
      </c>
      <c r="AA7" s="6">
        <f>Z7-AA9</f>
        <v/>
      </c>
    </row>
    <row r="8">
      <c r="A8" s="3" t="inlineStr">
        <is>
          <t>Interest Payment ($)</t>
        </is>
      </c>
      <c r="B8" s="6" t="n">
        <v>0</v>
      </c>
      <c r="C8" s="6">
        <f>B7*Inputs!$C$17</f>
        <v/>
      </c>
      <c r="D8" s="6">
        <f>C7*Inputs!$C$17</f>
        <v/>
      </c>
      <c r="E8" s="6">
        <f>D7*Inputs!$C$17</f>
        <v/>
      </c>
      <c r="F8" s="6">
        <f>E7*Inputs!$C$17</f>
        <v/>
      </c>
      <c r="G8" s="6">
        <f>F7*Inputs!$C$17</f>
        <v/>
      </c>
      <c r="H8" s="6">
        <f>G7*Inputs!$C$17</f>
        <v/>
      </c>
      <c r="I8" s="6">
        <f>H7*Inputs!$C$17</f>
        <v/>
      </c>
      <c r="J8" s="6">
        <f>I7*Inputs!$C$17</f>
        <v/>
      </c>
      <c r="K8" s="6">
        <f>J7*Inputs!$C$17</f>
        <v/>
      </c>
      <c r="L8" s="6">
        <f>K7*Inputs!$C$17</f>
        <v/>
      </c>
      <c r="M8" s="6">
        <f>L7*Inputs!$C$17</f>
        <v/>
      </c>
      <c r="N8" s="6">
        <f>M7*Inputs!$C$17</f>
        <v/>
      </c>
      <c r="O8" s="6">
        <f>N7*Inputs!$C$17</f>
        <v/>
      </c>
      <c r="P8" s="6">
        <f>O7*Inputs!$C$17</f>
        <v/>
      </c>
      <c r="Q8" s="6">
        <f>P7*Inputs!$C$17</f>
        <v/>
      </c>
      <c r="R8" s="6">
        <f>Q7*Inputs!$C$17</f>
        <v/>
      </c>
      <c r="S8" s="6">
        <f>R7*Inputs!$C$17</f>
        <v/>
      </c>
      <c r="T8" s="6">
        <f>S7*Inputs!$C$17</f>
        <v/>
      </c>
      <c r="U8" s="6">
        <f>T7*Inputs!$C$17</f>
        <v/>
      </c>
      <c r="V8" s="6">
        <f>U7*Inputs!$C$17</f>
        <v/>
      </c>
      <c r="W8" s="6">
        <f>V7*Inputs!$C$17</f>
        <v/>
      </c>
      <c r="X8" s="6">
        <f>W7*Inputs!$C$17</f>
        <v/>
      </c>
      <c r="Y8" s="6">
        <f>X7*Inputs!$C$17</f>
        <v/>
      </c>
      <c r="Z8" s="6">
        <f>Y7*Inputs!$C$17</f>
        <v/>
      </c>
      <c r="AA8" s="6">
        <f>Z7*Inputs!$C$17</f>
        <v/>
      </c>
    </row>
    <row r="9">
      <c r="A9" s="3" t="inlineStr">
        <is>
          <t>Principal Payment ($)</t>
        </is>
      </c>
      <c r="B9" s="6" t="n">
        <v>0</v>
      </c>
      <c r="C9" s="6">
        <f>-PMT(Inputs!$C$17,Inputs!$C$18,$B$7)-C8</f>
        <v/>
      </c>
      <c r="D9" s="6">
        <f>-PMT(Inputs!$C$17,Inputs!$C$18,$B$7)-D8</f>
        <v/>
      </c>
      <c r="E9" s="6">
        <f>-PMT(Inputs!$C$17,Inputs!$C$18,$B$7)-E8</f>
        <v/>
      </c>
      <c r="F9" s="6">
        <f>-PMT(Inputs!$C$17,Inputs!$C$18,$B$7)-F8</f>
        <v/>
      </c>
      <c r="G9" s="6">
        <f>-PMT(Inputs!$C$17,Inputs!$C$18,$B$7)-G8</f>
        <v/>
      </c>
      <c r="H9" s="6">
        <f>-PMT(Inputs!$C$17,Inputs!$C$18,$B$7)-H8</f>
        <v/>
      </c>
      <c r="I9" s="6">
        <f>-PMT(Inputs!$C$17,Inputs!$C$18,$B$7)-I8</f>
        <v/>
      </c>
      <c r="J9" s="6">
        <f>-PMT(Inputs!$C$17,Inputs!$C$18,$B$7)-J8</f>
        <v/>
      </c>
      <c r="K9" s="6">
        <f>-PMT(Inputs!$C$17,Inputs!$C$18,$B$7)-K8</f>
        <v/>
      </c>
      <c r="L9" s="6">
        <f>-PMT(Inputs!$C$17,Inputs!$C$18,$B$7)-L8</f>
        <v/>
      </c>
      <c r="M9" s="6">
        <f>-PMT(Inputs!$C$17,Inputs!$C$18,$B$7)-M8</f>
        <v/>
      </c>
      <c r="N9" s="6">
        <f>-PMT(Inputs!$C$17,Inputs!$C$18,$B$7)-N8</f>
        <v/>
      </c>
      <c r="O9" s="6">
        <f>-PMT(Inputs!$C$17,Inputs!$C$18,$B$7)-O8</f>
        <v/>
      </c>
      <c r="P9" s="6">
        <f>-PMT(Inputs!$C$17,Inputs!$C$18,$B$7)-P8</f>
        <v/>
      </c>
      <c r="Q9" s="6">
        <f>-PMT(Inputs!$C$17,Inputs!$C$18,$B$7)-Q8</f>
        <v/>
      </c>
      <c r="R9" s="6">
        <f>-PMT(Inputs!$C$17,Inputs!$C$18,$B$7)-R8</f>
        <v/>
      </c>
      <c r="S9" s="6">
        <f>-PMT(Inputs!$C$17,Inputs!$C$18,$B$7)-S8</f>
        <v/>
      </c>
      <c r="T9" s="6">
        <f>-PMT(Inputs!$C$17,Inputs!$C$18,$B$7)-T8</f>
        <v/>
      </c>
      <c r="U9" s="6">
        <f>-PMT(Inputs!$C$17,Inputs!$C$18,$B$7)-U8</f>
        <v/>
      </c>
      <c r="V9" s="6">
        <f>-PMT(Inputs!$C$17,Inputs!$C$18,$B$7)-V8</f>
        <v/>
      </c>
      <c r="W9" s="6">
        <f>-PMT(Inputs!$C$17,Inputs!$C$18,$B$7)-W8</f>
        <v/>
      </c>
      <c r="X9" s="6">
        <f>-PMT(Inputs!$C$17,Inputs!$C$18,$B$7)-X8</f>
        <v/>
      </c>
      <c r="Y9" s="6">
        <f>-PMT(Inputs!$C$17,Inputs!$C$18,$B$7)-Y8</f>
        <v/>
      </c>
      <c r="Z9" s="6">
        <f>-PMT(Inputs!$C$17,Inputs!$C$18,$B$7)-Z8</f>
        <v/>
      </c>
      <c r="AA9" s="6">
        <f>-PMT(Inputs!$C$17,Inputs!$C$18,$B$7)-AA8</f>
        <v/>
      </c>
    </row>
    <row r="10">
      <c r="A10" s="3" t="inlineStr">
        <is>
          <t>Total P&amp;I Payment ($)</t>
        </is>
      </c>
      <c r="B10" s="6" t="n">
        <v>0</v>
      </c>
      <c r="C10" s="6">
        <f>C8+C9</f>
        <v/>
      </c>
      <c r="D10" s="6">
        <f>D8+D9</f>
        <v/>
      </c>
      <c r="E10" s="6">
        <f>E8+E9</f>
        <v/>
      </c>
      <c r="F10" s="6">
        <f>F8+F9</f>
        <v/>
      </c>
      <c r="G10" s="6">
        <f>G8+G9</f>
        <v/>
      </c>
      <c r="H10" s="6">
        <f>H8+H9</f>
        <v/>
      </c>
      <c r="I10" s="6">
        <f>I8+I9</f>
        <v/>
      </c>
      <c r="J10" s="6">
        <f>J8+J9</f>
        <v/>
      </c>
      <c r="K10" s="6">
        <f>K8+K9</f>
        <v/>
      </c>
      <c r="L10" s="6">
        <f>L8+L9</f>
        <v/>
      </c>
      <c r="M10" s="6">
        <f>M8+M9</f>
        <v/>
      </c>
      <c r="N10" s="6">
        <f>N8+N9</f>
        <v/>
      </c>
      <c r="O10" s="6">
        <f>O8+O9</f>
        <v/>
      </c>
      <c r="P10" s="6">
        <f>P8+P9</f>
        <v/>
      </c>
      <c r="Q10" s="6">
        <f>Q8+Q9</f>
        <v/>
      </c>
      <c r="R10" s="6">
        <f>R8+R9</f>
        <v/>
      </c>
      <c r="S10" s="6">
        <f>S8+S9</f>
        <v/>
      </c>
      <c r="T10" s="6">
        <f>T8+T9</f>
        <v/>
      </c>
      <c r="U10" s="6">
        <f>U8+U9</f>
        <v/>
      </c>
      <c r="V10" s="6">
        <f>V8+V9</f>
        <v/>
      </c>
      <c r="W10" s="6">
        <f>W8+W9</f>
        <v/>
      </c>
      <c r="X10" s="6">
        <f>X8+X9</f>
        <v/>
      </c>
      <c r="Y10" s="6">
        <f>Y8+Y9</f>
        <v/>
      </c>
      <c r="Z10" s="6">
        <f>Z8+Z9</f>
        <v/>
      </c>
      <c r="AA10" s="6">
        <f>AA8+AA9</f>
        <v/>
      </c>
    </row>
    <row r="11">
      <c r="A11" s="3" t="inlineStr">
        <is>
          <t>Bill w/o System ($)</t>
        </is>
      </c>
      <c r="B11" s="6" t="n">
        <v>0</v>
      </c>
      <c r="C11" s="10">
        <f>Inputs!$C$30</f>
        <v/>
      </c>
      <c r="D11" s="6">
        <f>C11*(1+Inputs!$C$20)</f>
        <v/>
      </c>
      <c r="E11" s="6">
        <f>D11*(1+Inputs!$C$20)</f>
        <v/>
      </c>
      <c r="F11" s="6">
        <f>E11*(1+Inputs!$C$20)</f>
        <v/>
      </c>
      <c r="G11" s="6">
        <f>F11*(1+Inputs!$C$20)</f>
        <v/>
      </c>
      <c r="H11" s="6">
        <f>G11*(1+Inputs!$C$20)</f>
        <v/>
      </c>
      <c r="I11" s="6">
        <f>H11*(1+Inputs!$C$20)</f>
        <v/>
      </c>
      <c r="J11" s="6">
        <f>I11*(1+Inputs!$C$20)</f>
        <v/>
      </c>
      <c r="K11" s="6">
        <f>J11*(1+Inputs!$C$20)</f>
        <v/>
      </c>
      <c r="L11" s="6">
        <f>K11*(1+Inputs!$C$20)</f>
        <v/>
      </c>
      <c r="M11" s="6">
        <f>L11*(1+Inputs!$C$20)</f>
        <v/>
      </c>
      <c r="N11" s="6">
        <f>M11*(1+Inputs!$C$20)</f>
        <v/>
      </c>
      <c r="O11" s="6">
        <f>N11*(1+Inputs!$C$20)</f>
        <v/>
      </c>
      <c r="P11" s="6">
        <f>O11*(1+Inputs!$C$20)</f>
        <v/>
      </c>
      <c r="Q11" s="6">
        <f>P11*(1+Inputs!$C$20)</f>
        <v/>
      </c>
      <c r="R11" s="6">
        <f>Q11*(1+Inputs!$C$20)</f>
        <v/>
      </c>
      <c r="S11" s="6">
        <f>R11*(1+Inputs!$C$20)</f>
        <v/>
      </c>
      <c r="T11" s="6">
        <f>S11*(1+Inputs!$C$20)</f>
        <v/>
      </c>
      <c r="U11" s="6">
        <f>T11*(1+Inputs!$C$20)</f>
        <v/>
      </c>
      <c r="V11" s="6">
        <f>U11*(1+Inputs!$C$20)</f>
        <v/>
      </c>
      <c r="W11" s="6">
        <f>V11*(1+Inputs!$C$20)</f>
        <v/>
      </c>
      <c r="X11" s="6">
        <f>W11*(1+Inputs!$C$20)</f>
        <v/>
      </c>
      <c r="Y11" s="6">
        <f>X11*(1+Inputs!$C$20)</f>
        <v/>
      </c>
      <c r="Z11" s="6">
        <f>Y11*(1+Inputs!$C$20)</f>
        <v/>
      </c>
      <c r="AA11" s="6">
        <f>Z11*(1+Inputs!$C$20)</f>
        <v/>
      </c>
    </row>
    <row r="12">
      <c r="A12" s="3" t="inlineStr">
        <is>
          <t>Bill w/ System ($)</t>
        </is>
      </c>
      <c r="B12" s="6" t="n">
        <v>0</v>
      </c>
      <c r="C12" s="10">
        <f>C11-Inputs!$C$43</f>
        <v/>
      </c>
      <c r="D12" s="6">
        <f>D11-Inputs!$C$43*(1+Inputs!$C$20)^(2-1)</f>
        <v/>
      </c>
      <c r="E12" s="6">
        <f>E11-Inputs!$C$43*(1+Inputs!$C$20)^(3-1)</f>
        <v/>
      </c>
      <c r="F12" s="6">
        <f>F11-Inputs!$C$43*(1+Inputs!$C$20)^(4-1)</f>
        <v/>
      </c>
      <c r="G12" s="6">
        <f>G11-Inputs!$C$43*(1+Inputs!$C$20)^(5-1)</f>
        <v/>
      </c>
      <c r="H12" s="6">
        <f>H11-Inputs!$C$43*(1+Inputs!$C$20)^(6-1)</f>
        <v/>
      </c>
      <c r="I12" s="6">
        <f>I11-Inputs!$C$43*(1+Inputs!$C$20)^(7-1)</f>
        <v/>
      </c>
      <c r="J12" s="6">
        <f>J11-Inputs!$C$43*(1+Inputs!$C$20)^(8-1)</f>
        <v/>
      </c>
      <c r="K12" s="6">
        <f>K11-Inputs!$C$43*(1+Inputs!$C$20)^(9-1)</f>
        <v/>
      </c>
      <c r="L12" s="6">
        <f>L11-Inputs!$C$43*(1+Inputs!$C$20)^(10-1)</f>
        <v/>
      </c>
      <c r="M12" s="6">
        <f>M11-Inputs!$C$43*(1+Inputs!$C$20)^(11-1)</f>
        <v/>
      </c>
      <c r="N12" s="6">
        <f>N11-Inputs!$C$43*(1+Inputs!$C$20)^(12-1)</f>
        <v/>
      </c>
      <c r="O12" s="6">
        <f>O11-Inputs!$C$43*(1+Inputs!$C$20)^(13-1)</f>
        <v/>
      </c>
      <c r="P12" s="6">
        <f>P11-Inputs!$C$43*(1+Inputs!$C$20)^(14-1)</f>
        <v/>
      </c>
      <c r="Q12" s="6">
        <f>Q11-Inputs!$C$43*(1+Inputs!$C$20)^(15-1)</f>
        <v/>
      </c>
      <c r="R12" s="6">
        <f>R11-Inputs!$C$43*(1+Inputs!$C$20)^(16-1)</f>
        <v/>
      </c>
      <c r="S12" s="6">
        <f>S11-Inputs!$C$43*(1+Inputs!$C$20)^(17-1)</f>
        <v/>
      </c>
      <c r="T12" s="6">
        <f>T11-Inputs!$C$43*(1+Inputs!$C$20)^(18-1)</f>
        <v/>
      </c>
      <c r="U12" s="6">
        <f>U11-Inputs!$C$43*(1+Inputs!$C$20)^(19-1)</f>
        <v/>
      </c>
      <c r="V12" s="6">
        <f>V11-Inputs!$C$43*(1+Inputs!$C$20)^(20-1)</f>
        <v/>
      </c>
      <c r="W12" s="6">
        <f>W11-Inputs!$C$43*(1+Inputs!$C$20)^(21-1)</f>
        <v/>
      </c>
      <c r="X12" s="6">
        <f>X11-Inputs!$C$43*(1+Inputs!$C$20)^(22-1)</f>
        <v/>
      </c>
      <c r="Y12" s="6">
        <f>Y11-Inputs!$C$43*(1+Inputs!$C$20)^(23-1)</f>
        <v/>
      </c>
      <c r="Z12" s="6">
        <f>Z11-Inputs!$C$43*(1+Inputs!$C$20)^(24-1)</f>
        <v/>
      </c>
      <c r="AA12" s="6">
        <f>AA11-Inputs!$C$43*(1+Inputs!$C$20)^(25-1)</f>
        <v/>
      </c>
    </row>
    <row r="13">
      <c r="A13" s="3" t="inlineStr">
        <is>
          <t>Bill Savings ($)</t>
        </is>
      </c>
      <c r="B13" s="6" t="n">
        <v>0</v>
      </c>
      <c r="C13" s="6">
        <f>C11-C12</f>
        <v/>
      </c>
      <c r="D13" s="6">
        <f>D11-D12</f>
        <v/>
      </c>
      <c r="E13" s="6">
        <f>E11-E12</f>
        <v/>
      </c>
      <c r="F13" s="6">
        <f>F11-F12</f>
        <v/>
      </c>
      <c r="G13" s="6">
        <f>G11-G12</f>
        <v/>
      </c>
      <c r="H13" s="6">
        <f>H11-H12</f>
        <v/>
      </c>
      <c r="I13" s="6">
        <f>I11-I12</f>
        <v/>
      </c>
      <c r="J13" s="6">
        <f>J11-J12</f>
        <v/>
      </c>
      <c r="K13" s="6">
        <f>K11-K12</f>
        <v/>
      </c>
      <c r="L13" s="6">
        <f>L11-L12</f>
        <v/>
      </c>
      <c r="M13" s="6">
        <f>M11-M12</f>
        <v/>
      </c>
      <c r="N13" s="6">
        <f>N11-N12</f>
        <v/>
      </c>
      <c r="O13" s="6">
        <f>O11-O12</f>
        <v/>
      </c>
      <c r="P13" s="6">
        <f>P11-P12</f>
        <v/>
      </c>
      <c r="Q13" s="6">
        <f>Q11-Q12</f>
        <v/>
      </c>
      <c r="R13" s="6">
        <f>R11-R12</f>
        <v/>
      </c>
      <c r="S13" s="6">
        <f>S11-S12</f>
        <v/>
      </c>
      <c r="T13" s="6">
        <f>T11-T12</f>
        <v/>
      </c>
      <c r="U13" s="6">
        <f>U11-U12</f>
        <v/>
      </c>
      <c r="V13" s="6">
        <f>V11-V12</f>
        <v/>
      </c>
      <c r="W13" s="6">
        <f>W11-W12</f>
        <v/>
      </c>
      <c r="X13" s="6">
        <f>X11-X12</f>
        <v/>
      </c>
      <c r="Y13" s="6">
        <f>Y11-Y12</f>
        <v/>
      </c>
      <c r="Z13" s="6">
        <f>Z11-Z12</f>
        <v/>
      </c>
      <c r="AA13" s="6">
        <f>AA11-AA12</f>
        <v/>
      </c>
    </row>
    <row r="14">
      <c r="A14" s="3" t="inlineStr">
        <is>
          <t>Incentive Annual ($)</t>
        </is>
      </c>
      <c r="B14" s="6" t="n">
        <v>0</v>
      </c>
      <c r="C14" s="10">
        <f>IF(1&lt;=Inputs!$C$38,Inputs!$C$35,0)</f>
        <v/>
      </c>
      <c r="D14" s="10">
        <f>IF(2&lt;=Inputs!$C$38,Inputs!$C$35,0)</f>
        <v/>
      </c>
      <c r="E14" s="10">
        <f>IF(3&lt;=Inputs!$C$38,Inputs!$C$35,0)</f>
        <v/>
      </c>
      <c r="F14" s="10">
        <f>IF(4&lt;=Inputs!$C$38,Inputs!$C$35,0)</f>
        <v/>
      </c>
      <c r="G14" s="10">
        <f>IF(5&lt;=Inputs!$C$38,Inputs!$C$35,0)</f>
        <v/>
      </c>
      <c r="H14" s="10">
        <f>IF(6&lt;=Inputs!$C$38,Inputs!$C$35,0)</f>
        <v/>
      </c>
      <c r="I14" s="10">
        <f>IF(7&lt;=Inputs!$C$38,Inputs!$C$35,0)</f>
        <v/>
      </c>
      <c r="J14" s="10">
        <f>IF(8&lt;=Inputs!$C$38,Inputs!$C$35,0)</f>
        <v/>
      </c>
      <c r="K14" s="10">
        <f>IF(9&lt;=Inputs!$C$38,Inputs!$C$35,0)</f>
        <v/>
      </c>
      <c r="L14" s="10">
        <f>IF(10&lt;=Inputs!$C$38,Inputs!$C$35,0)</f>
        <v/>
      </c>
      <c r="M14" s="10">
        <f>IF(11&lt;=Inputs!$C$38,Inputs!$C$35,0)</f>
        <v/>
      </c>
      <c r="N14" s="10">
        <f>IF(12&lt;=Inputs!$C$38,Inputs!$C$35,0)</f>
        <v/>
      </c>
      <c r="O14" s="10">
        <f>IF(13&lt;=Inputs!$C$38,Inputs!$C$35,0)</f>
        <v/>
      </c>
      <c r="P14" s="10">
        <f>IF(14&lt;=Inputs!$C$38,Inputs!$C$35,0)</f>
        <v/>
      </c>
      <c r="Q14" s="10">
        <f>IF(15&lt;=Inputs!$C$38,Inputs!$C$35,0)</f>
        <v/>
      </c>
      <c r="R14" s="10">
        <f>IF(16&lt;=Inputs!$C$38,Inputs!$C$35,0)</f>
        <v/>
      </c>
      <c r="S14" s="10">
        <f>IF(17&lt;=Inputs!$C$38,Inputs!$C$35,0)</f>
        <v/>
      </c>
      <c r="T14" s="10">
        <f>IF(18&lt;=Inputs!$C$38,Inputs!$C$35,0)</f>
        <v/>
      </c>
      <c r="U14" s="10">
        <f>IF(19&lt;=Inputs!$C$38,Inputs!$C$35,0)</f>
        <v/>
      </c>
      <c r="V14" s="10">
        <f>IF(20&lt;=Inputs!$C$38,Inputs!$C$35,0)</f>
        <v/>
      </c>
      <c r="W14" s="10">
        <f>IF(21&lt;=Inputs!$C$38,Inputs!$C$35,0)</f>
        <v/>
      </c>
      <c r="X14" s="10">
        <f>IF(22&lt;=Inputs!$C$38,Inputs!$C$35,0)</f>
        <v/>
      </c>
      <c r="Y14" s="10">
        <f>IF(23&lt;=Inputs!$C$38,Inputs!$C$35,0)</f>
        <v/>
      </c>
      <c r="Z14" s="10">
        <f>IF(24&lt;=Inputs!$C$38,Inputs!$C$35,0)</f>
        <v/>
      </c>
      <c r="AA14" s="10">
        <f>IF(25&lt;=Inputs!$C$38,Inputs!$C$35,0)</f>
        <v/>
      </c>
    </row>
    <row r="15">
      <c r="A15" s="3" t="inlineStr">
        <is>
          <t>Total Savings ($)</t>
        </is>
      </c>
      <c r="B15" s="6" t="n">
        <v>0</v>
      </c>
      <c r="C15" s="6">
        <f>C13+C14</f>
        <v/>
      </c>
      <c r="D15" s="6">
        <f>D13+D14</f>
        <v/>
      </c>
      <c r="E15" s="6">
        <f>E13+E14</f>
        <v/>
      </c>
      <c r="F15" s="6">
        <f>F13+F14</f>
        <v/>
      </c>
      <c r="G15" s="6">
        <f>G13+G14</f>
        <v/>
      </c>
      <c r="H15" s="6">
        <f>H13+H14</f>
        <v/>
      </c>
      <c r="I15" s="6">
        <f>I13+I14</f>
        <v/>
      </c>
      <c r="J15" s="6">
        <f>J13+J14</f>
        <v/>
      </c>
      <c r="K15" s="6">
        <f>K13+K14</f>
        <v/>
      </c>
      <c r="L15" s="6">
        <f>L13+L14</f>
        <v/>
      </c>
      <c r="M15" s="6">
        <f>M13+M14</f>
        <v/>
      </c>
      <c r="N15" s="6">
        <f>N13+N14</f>
        <v/>
      </c>
      <c r="O15" s="6">
        <f>O13+O14</f>
        <v/>
      </c>
      <c r="P15" s="6">
        <f>P13+P14</f>
        <v/>
      </c>
      <c r="Q15" s="6">
        <f>Q13+Q14</f>
        <v/>
      </c>
      <c r="R15" s="6">
        <f>R13+R14</f>
        <v/>
      </c>
      <c r="S15" s="6">
        <f>S13+S14</f>
        <v/>
      </c>
      <c r="T15" s="6">
        <f>T13+T14</f>
        <v/>
      </c>
      <c r="U15" s="6">
        <f>U13+U14</f>
        <v/>
      </c>
      <c r="V15" s="6">
        <f>V13+V14</f>
        <v/>
      </c>
      <c r="W15" s="6">
        <f>W13+W14</f>
        <v/>
      </c>
      <c r="X15" s="6">
        <f>X13+X14</f>
        <v/>
      </c>
      <c r="Y15" s="6">
        <f>Y13+Y14</f>
        <v/>
      </c>
      <c r="Z15" s="6">
        <f>Z13+Z14</f>
        <v/>
      </c>
      <c r="AA15" s="6">
        <f>AA13+AA14</f>
        <v/>
      </c>
    </row>
    <row r="16">
      <c r="A16" s="3" t="inlineStr">
        <is>
          <t>Net Savings ($)</t>
        </is>
      </c>
      <c r="B16" s="6" t="n">
        <v>0</v>
      </c>
      <c r="C16" s="6">
        <f>C15-C10</f>
        <v/>
      </c>
      <c r="D16" s="6">
        <f>D15-D10</f>
        <v/>
      </c>
      <c r="E16" s="6">
        <f>E15-E10</f>
        <v/>
      </c>
      <c r="F16" s="6">
        <f>F15-F10</f>
        <v/>
      </c>
      <c r="G16" s="6">
        <f>G15-G10</f>
        <v/>
      </c>
      <c r="H16" s="6">
        <f>H15-H10</f>
        <v/>
      </c>
      <c r="I16" s="6">
        <f>I15-I10</f>
        <v/>
      </c>
      <c r="J16" s="6">
        <f>J15-J10</f>
        <v/>
      </c>
      <c r="K16" s="6">
        <f>K15-K10</f>
        <v/>
      </c>
      <c r="L16" s="6">
        <f>L15-L10</f>
        <v/>
      </c>
      <c r="M16" s="6">
        <f>M15-M10</f>
        <v/>
      </c>
      <c r="N16" s="6">
        <f>N15-N10</f>
        <v/>
      </c>
      <c r="O16" s="6">
        <f>O15-O10</f>
        <v/>
      </c>
      <c r="P16" s="6">
        <f>P15-P10</f>
        <v/>
      </c>
      <c r="Q16" s="6">
        <f>Q15-Q10</f>
        <v/>
      </c>
      <c r="R16" s="6">
        <f>R15-R10</f>
        <v/>
      </c>
      <c r="S16" s="6">
        <f>S15-S10</f>
        <v/>
      </c>
      <c r="T16" s="6">
        <f>T15-T10</f>
        <v/>
      </c>
      <c r="U16" s="6">
        <f>U15-U10</f>
        <v/>
      </c>
      <c r="V16" s="6">
        <f>V15-V10</f>
        <v/>
      </c>
      <c r="W16" s="6">
        <f>W15-W10</f>
        <v/>
      </c>
      <c r="X16" s="6">
        <f>X15-X10</f>
        <v/>
      </c>
      <c r="Y16" s="6">
        <f>Y15-Y10</f>
        <v/>
      </c>
      <c r="Z16" s="6">
        <f>Z15-Z10</f>
        <v/>
      </c>
      <c r="AA16" s="6">
        <f>AA15-AA10</f>
        <v/>
      </c>
    </row>
    <row r="17">
      <c r="A17" s="3" t="inlineStr">
        <is>
          <t>Cumulative NPV ($)</t>
        </is>
      </c>
      <c r="B17" s="6" t="n">
        <v>0</v>
      </c>
      <c r="C17" s="6">
        <f>C16/(1+Inputs!$C$19)^1</f>
        <v/>
      </c>
      <c r="D17" s="6">
        <f>C17+D16/(1+Inputs!$C$19)^2</f>
        <v/>
      </c>
      <c r="E17" s="6">
        <f>D17+E16/(1+Inputs!$C$19)^3</f>
        <v/>
      </c>
      <c r="F17" s="6">
        <f>E17+F16/(1+Inputs!$C$19)^4</f>
        <v/>
      </c>
      <c r="G17" s="6">
        <f>F17+G16/(1+Inputs!$C$19)^5</f>
        <v/>
      </c>
      <c r="H17" s="6">
        <f>G17+H16/(1+Inputs!$C$19)^6</f>
        <v/>
      </c>
      <c r="I17" s="6">
        <f>H17+I16/(1+Inputs!$C$19)^7</f>
        <v/>
      </c>
      <c r="J17" s="6">
        <f>I17+J16/(1+Inputs!$C$19)^8</f>
        <v/>
      </c>
      <c r="K17" s="6">
        <f>J17+K16/(1+Inputs!$C$19)^9</f>
        <v/>
      </c>
      <c r="L17" s="6">
        <f>K17+L16/(1+Inputs!$C$19)^10</f>
        <v/>
      </c>
      <c r="M17" s="6">
        <f>L17+M16/(1+Inputs!$C$19)^11</f>
        <v/>
      </c>
      <c r="N17" s="6">
        <f>M17+N16/(1+Inputs!$C$19)^12</f>
        <v/>
      </c>
      <c r="O17" s="6">
        <f>N17+O16/(1+Inputs!$C$19)^13</f>
        <v/>
      </c>
      <c r="P17" s="6">
        <f>O17+P16/(1+Inputs!$C$19)^14</f>
        <v/>
      </c>
      <c r="Q17" s="6">
        <f>P17+Q16/(1+Inputs!$C$19)^15</f>
        <v/>
      </c>
      <c r="R17" s="6">
        <f>Q17+R16/(1+Inputs!$C$19)^16</f>
        <v/>
      </c>
      <c r="S17" s="6">
        <f>R17+S16/(1+Inputs!$C$19)^17</f>
        <v/>
      </c>
      <c r="T17" s="6">
        <f>S17+T16/(1+Inputs!$C$19)^18</f>
        <v/>
      </c>
      <c r="U17" s="6">
        <f>T17+U16/(1+Inputs!$C$19)^19</f>
        <v/>
      </c>
      <c r="V17" s="6">
        <f>U17+V16/(1+Inputs!$C$19)^20</f>
        <v/>
      </c>
      <c r="W17" s="6">
        <f>V17+W16/(1+Inputs!$C$19)^21</f>
        <v/>
      </c>
      <c r="X17" s="6">
        <f>W17+X16/(1+Inputs!$C$19)^22</f>
        <v/>
      </c>
      <c r="Y17" s="6">
        <f>X17+Y16/(1+Inputs!$C$19)^23</f>
        <v/>
      </c>
      <c r="Z17" s="6">
        <f>Y17+Z16/(1+Inputs!$C$19)^24</f>
        <v/>
      </c>
      <c r="AA17" s="6">
        <f>Z17+AA16/(1+Inputs!$C$19)^25</f>
        <v/>
      </c>
    </row>
    <row r="18">
      <c r="A18" s="11" t="inlineStr">
        <is>
          <t>Simple Payback (yr)</t>
        </is>
      </c>
      <c r="B18" s="12">
        <f>IF((C13+C14)&gt;0,B7/(C13+C14),"N/A")</f>
        <v/>
      </c>
    </row>
    <row r="19">
      <c r="A19" s="11" t="inlineStr">
        <is>
          <t>NPV Breakeven Year</t>
        </is>
      </c>
      <c r="B19" s="5" t="inlineStr">
        <is>
          <t>See Cumulative NPV row 17 for first year ≥ 0</t>
        </is>
      </c>
    </row>
    <row r="20"/>
    <row r="21"/>
    <row r="22">
      <c r="A22" s="8" t="inlineStr">
        <is>
          <t>Solar Only — No Incentives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</row>
    <row r="23">
      <c r="A23" s="2" t="inlineStr">
        <is>
          <t>Year</t>
        </is>
      </c>
      <c r="B23" s="3" t="n">
        <v>0</v>
      </c>
      <c r="C23" s="3" t="n">
        <v>1</v>
      </c>
      <c r="D23" s="3" t="n">
        <v>2</v>
      </c>
      <c r="E23" s="3" t="n">
        <v>3</v>
      </c>
      <c r="F23" s="3" t="n">
        <v>4</v>
      </c>
      <c r="G23" s="3" t="n">
        <v>5</v>
      </c>
      <c r="H23" s="3" t="n">
        <v>6</v>
      </c>
      <c r="I23" s="3" t="n">
        <v>7</v>
      </c>
      <c r="J23" s="3" t="n">
        <v>8</v>
      </c>
      <c r="K23" s="3" t="n">
        <v>9</v>
      </c>
      <c r="L23" s="3" t="n">
        <v>10</v>
      </c>
      <c r="M23" s="3" t="n">
        <v>11</v>
      </c>
      <c r="N23" s="3" t="n">
        <v>12</v>
      </c>
      <c r="O23" s="3" t="n">
        <v>13</v>
      </c>
      <c r="P23" s="3" t="n">
        <v>14</v>
      </c>
      <c r="Q23" s="3" t="n">
        <v>15</v>
      </c>
      <c r="R23" s="3" t="n">
        <v>16</v>
      </c>
      <c r="S23" s="3" t="n">
        <v>17</v>
      </c>
      <c r="T23" s="3" t="n">
        <v>18</v>
      </c>
      <c r="U23" s="3" t="n">
        <v>19</v>
      </c>
      <c r="V23" s="3" t="n">
        <v>20</v>
      </c>
      <c r="W23" s="3" t="n">
        <v>21</v>
      </c>
      <c r="X23" s="3" t="n">
        <v>22</v>
      </c>
      <c r="Y23" s="3" t="n">
        <v>23</v>
      </c>
      <c r="Z23" s="3" t="n">
        <v>24</v>
      </c>
      <c r="AA23" s="3" t="n">
        <v>25</v>
      </c>
    </row>
    <row r="24">
      <c r="A24" s="3" t="inlineStr">
        <is>
          <t>Debt Balance ($)</t>
        </is>
      </c>
      <c r="B24" s="6">
        <f>Inputs!C11</f>
        <v/>
      </c>
      <c r="C24" s="6">
        <f>B24-C26</f>
        <v/>
      </c>
      <c r="D24" s="6">
        <f>C24-D26</f>
        <v/>
      </c>
      <c r="E24" s="6">
        <f>D24-E26</f>
        <v/>
      </c>
      <c r="F24" s="6">
        <f>E24-F26</f>
        <v/>
      </c>
      <c r="G24" s="6">
        <f>F24-G26</f>
        <v/>
      </c>
      <c r="H24" s="6">
        <f>G24-H26</f>
        <v/>
      </c>
      <c r="I24" s="6">
        <f>H24-I26</f>
        <v/>
      </c>
      <c r="J24" s="6">
        <f>I24-J26</f>
        <v/>
      </c>
      <c r="K24" s="6">
        <f>J24-K26</f>
        <v/>
      </c>
      <c r="L24" s="6">
        <f>K24-L26</f>
        <v/>
      </c>
      <c r="M24" s="6">
        <f>L24-M26</f>
        <v/>
      </c>
      <c r="N24" s="6">
        <f>M24-N26</f>
        <v/>
      </c>
      <c r="O24" s="6">
        <f>N24-O26</f>
        <v/>
      </c>
      <c r="P24" s="6">
        <f>O24-P26</f>
        <v/>
      </c>
      <c r="Q24" s="6">
        <f>P24-Q26</f>
        <v/>
      </c>
      <c r="R24" s="6">
        <f>Q24-R26</f>
        <v/>
      </c>
      <c r="S24" s="6">
        <f>R24-S26</f>
        <v/>
      </c>
      <c r="T24" s="6">
        <f>S24-T26</f>
        <v/>
      </c>
      <c r="U24" s="6">
        <f>T24-U26</f>
        <v/>
      </c>
      <c r="V24" s="6">
        <f>U24-V26</f>
        <v/>
      </c>
      <c r="W24" s="6">
        <f>V24-W26</f>
        <v/>
      </c>
      <c r="X24" s="6">
        <f>W24-X26</f>
        <v/>
      </c>
      <c r="Y24" s="6">
        <f>X24-Y26</f>
        <v/>
      </c>
      <c r="Z24" s="6">
        <f>Y24-Z26</f>
        <v/>
      </c>
      <c r="AA24" s="6">
        <f>Z24-AA26</f>
        <v/>
      </c>
    </row>
    <row r="25">
      <c r="A25" s="3" t="inlineStr">
        <is>
          <t>Interest Payment ($)</t>
        </is>
      </c>
      <c r="B25" s="6" t="n">
        <v>0</v>
      </c>
      <c r="C25" s="6">
        <f>B24*Inputs!$C$17</f>
        <v/>
      </c>
      <c r="D25" s="6">
        <f>C24*Inputs!$C$17</f>
        <v/>
      </c>
      <c r="E25" s="6">
        <f>D24*Inputs!$C$17</f>
        <v/>
      </c>
      <c r="F25" s="6">
        <f>E24*Inputs!$C$17</f>
        <v/>
      </c>
      <c r="G25" s="6">
        <f>F24*Inputs!$C$17</f>
        <v/>
      </c>
      <c r="H25" s="6">
        <f>G24*Inputs!$C$17</f>
        <v/>
      </c>
      <c r="I25" s="6">
        <f>H24*Inputs!$C$17</f>
        <v/>
      </c>
      <c r="J25" s="6">
        <f>I24*Inputs!$C$17</f>
        <v/>
      </c>
      <c r="K25" s="6">
        <f>J24*Inputs!$C$17</f>
        <v/>
      </c>
      <c r="L25" s="6">
        <f>K24*Inputs!$C$17</f>
        <v/>
      </c>
      <c r="M25" s="6">
        <f>L24*Inputs!$C$17</f>
        <v/>
      </c>
      <c r="N25" s="6">
        <f>M24*Inputs!$C$17</f>
        <v/>
      </c>
      <c r="O25" s="6">
        <f>N24*Inputs!$C$17</f>
        <v/>
      </c>
      <c r="P25" s="6">
        <f>O24*Inputs!$C$17</f>
        <v/>
      </c>
      <c r="Q25" s="6">
        <f>P24*Inputs!$C$17</f>
        <v/>
      </c>
      <c r="R25" s="6">
        <f>Q24*Inputs!$C$17</f>
        <v/>
      </c>
      <c r="S25" s="6">
        <f>R24*Inputs!$C$17</f>
        <v/>
      </c>
      <c r="T25" s="6">
        <f>S24*Inputs!$C$17</f>
        <v/>
      </c>
      <c r="U25" s="6">
        <f>T24*Inputs!$C$17</f>
        <v/>
      </c>
      <c r="V25" s="6">
        <f>U24*Inputs!$C$17</f>
        <v/>
      </c>
      <c r="W25" s="6">
        <f>V24*Inputs!$C$17</f>
        <v/>
      </c>
      <c r="X25" s="6">
        <f>W24*Inputs!$C$17</f>
        <v/>
      </c>
      <c r="Y25" s="6">
        <f>X24*Inputs!$C$17</f>
        <v/>
      </c>
      <c r="Z25" s="6">
        <f>Y24*Inputs!$C$17</f>
        <v/>
      </c>
      <c r="AA25" s="6">
        <f>Z24*Inputs!$C$17</f>
        <v/>
      </c>
    </row>
    <row r="26">
      <c r="A26" s="3" t="inlineStr">
        <is>
          <t>Principal Payment ($)</t>
        </is>
      </c>
      <c r="B26" s="6" t="n">
        <v>0</v>
      </c>
      <c r="C26" s="6">
        <f>-PMT(Inputs!$C$17,Inputs!$C$18,$B$24)-C25</f>
        <v/>
      </c>
      <c r="D26" s="6">
        <f>-PMT(Inputs!$C$17,Inputs!$C$18,$B$24)-D25</f>
        <v/>
      </c>
      <c r="E26" s="6">
        <f>-PMT(Inputs!$C$17,Inputs!$C$18,$B$24)-E25</f>
        <v/>
      </c>
      <c r="F26" s="6">
        <f>-PMT(Inputs!$C$17,Inputs!$C$18,$B$24)-F25</f>
        <v/>
      </c>
      <c r="G26" s="6">
        <f>-PMT(Inputs!$C$17,Inputs!$C$18,$B$24)-G25</f>
        <v/>
      </c>
      <c r="H26" s="6">
        <f>-PMT(Inputs!$C$17,Inputs!$C$18,$B$24)-H25</f>
        <v/>
      </c>
      <c r="I26" s="6">
        <f>-PMT(Inputs!$C$17,Inputs!$C$18,$B$24)-I25</f>
        <v/>
      </c>
      <c r="J26" s="6">
        <f>-PMT(Inputs!$C$17,Inputs!$C$18,$B$24)-J25</f>
        <v/>
      </c>
      <c r="K26" s="6">
        <f>-PMT(Inputs!$C$17,Inputs!$C$18,$B$24)-K25</f>
        <v/>
      </c>
      <c r="L26" s="6">
        <f>-PMT(Inputs!$C$17,Inputs!$C$18,$B$24)-L25</f>
        <v/>
      </c>
      <c r="M26" s="6">
        <f>-PMT(Inputs!$C$17,Inputs!$C$18,$B$24)-M25</f>
        <v/>
      </c>
      <c r="N26" s="6">
        <f>-PMT(Inputs!$C$17,Inputs!$C$18,$B$24)-N25</f>
        <v/>
      </c>
      <c r="O26" s="6">
        <f>-PMT(Inputs!$C$17,Inputs!$C$18,$B$24)-O25</f>
        <v/>
      </c>
      <c r="P26" s="6">
        <f>-PMT(Inputs!$C$17,Inputs!$C$18,$B$24)-P25</f>
        <v/>
      </c>
      <c r="Q26" s="6">
        <f>-PMT(Inputs!$C$17,Inputs!$C$18,$B$24)-Q25</f>
        <v/>
      </c>
      <c r="R26" s="6">
        <f>-PMT(Inputs!$C$17,Inputs!$C$18,$B$24)-R25</f>
        <v/>
      </c>
      <c r="S26" s="6">
        <f>-PMT(Inputs!$C$17,Inputs!$C$18,$B$24)-S25</f>
        <v/>
      </c>
      <c r="T26" s="6">
        <f>-PMT(Inputs!$C$17,Inputs!$C$18,$B$24)-T25</f>
        <v/>
      </c>
      <c r="U26" s="6">
        <f>-PMT(Inputs!$C$17,Inputs!$C$18,$B$24)-U25</f>
        <v/>
      </c>
      <c r="V26" s="6">
        <f>-PMT(Inputs!$C$17,Inputs!$C$18,$B$24)-V25</f>
        <v/>
      </c>
      <c r="W26" s="6">
        <f>-PMT(Inputs!$C$17,Inputs!$C$18,$B$24)-W25</f>
        <v/>
      </c>
      <c r="X26" s="6">
        <f>-PMT(Inputs!$C$17,Inputs!$C$18,$B$24)-X25</f>
        <v/>
      </c>
      <c r="Y26" s="6">
        <f>-PMT(Inputs!$C$17,Inputs!$C$18,$B$24)-Y25</f>
        <v/>
      </c>
      <c r="Z26" s="6">
        <f>-PMT(Inputs!$C$17,Inputs!$C$18,$B$24)-Z25</f>
        <v/>
      </c>
      <c r="AA26" s="6">
        <f>-PMT(Inputs!$C$17,Inputs!$C$18,$B$24)-AA25</f>
        <v/>
      </c>
    </row>
    <row r="27">
      <c r="A27" s="3" t="inlineStr">
        <is>
          <t>Total P&amp;I Payment ($)</t>
        </is>
      </c>
      <c r="B27" s="6" t="n">
        <v>0</v>
      </c>
      <c r="C27" s="6">
        <f>C25+C26</f>
        <v/>
      </c>
      <c r="D27" s="6">
        <f>D25+D26</f>
        <v/>
      </c>
      <c r="E27" s="6">
        <f>E25+E26</f>
        <v/>
      </c>
      <c r="F27" s="6">
        <f>F25+F26</f>
        <v/>
      </c>
      <c r="G27" s="6">
        <f>G25+G26</f>
        <v/>
      </c>
      <c r="H27" s="6">
        <f>H25+H26</f>
        <v/>
      </c>
      <c r="I27" s="6">
        <f>I25+I26</f>
        <v/>
      </c>
      <c r="J27" s="6">
        <f>J25+J26</f>
        <v/>
      </c>
      <c r="K27" s="6">
        <f>K25+K26</f>
        <v/>
      </c>
      <c r="L27" s="6">
        <f>L25+L26</f>
        <v/>
      </c>
      <c r="M27" s="6">
        <f>M25+M26</f>
        <v/>
      </c>
      <c r="N27" s="6">
        <f>N25+N26</f>
        <v/>
      </c>
      <c r="O27" s="6">
        <f>O25+O26</f>
        <v/>
      </c>
      <c r="P27" s="6">
        <f>P25+P26</f>
        <v/>
      </c>
      <c r="Q27" s="6">
        <f>Q25+Q26</f>
        <v/>
      </c>
      <c r="R27" s="6">
        <f>R25+R26</f>
        <v/>
      </c>
      <c r="S27" s="6">
        <f>S25+S26</f>
        <v/>
      </c>
      <c r="T27" s="6">
        <f>T25+T26</f>
        <v/>
      </c>
      <c r="U27" s="6">
        <f>U25+U26</f>
        <v/>
      </c>
      <c r="V27" s="6">
        <f>V25+V26</f>
        <v/>
      </c>
      <c r="W27" s="6">
        <f>W25+W26</f>
        <v/>
      </c>
      <c r="X27" s="6">
        <f>X25+X26</f>
        <v/>
      </c>
      <c r="Y27" s="6">
        <f>Y25+Y26</f>
        <v/>
      </c>
      <c r="Z27" s="6">
        <f>Z25+Z26</f>
        <v/>
      </c>
      <c r="AA27" s="6">
        <f>AA25+AA26</f>
        <v/>
      </c>
    </row>
    <row r="28">
      <c r="A28" s="3" t="inlineStr">
        <is>
          <t>Bill w/o System ($)</t>
        </is>
      </c>
      <c r="B28" s="6" t="n">
        <v>0</v>
      </c>
      <c r="C28" s="10">
        <f>Inputs!$C$30</f>
        <v/>
      </c>
      <c r="D28" s="6">
        <f>C28*(1+Inputs!$C$20)</f>
        <v/>
      </c>
      <c r="E28" s="6">
        <f>D28*(1+Inputs!$C$20)</f>
        <v/>
      </c>
      <c r="F28" s="6">
        <f>E28*(1+Inputs!$C$20)</f>
        <v/>
      </c>
      <c r="G28" s="6">
        <f>F28*(1+Inputs!$C$20)</f>
        <v/>
      </c>
      <c r="H28" s="6">
        <f>G28*(1+Inputs!$C$20)</f>
        <v/>
      </c>
      <c r="I28" s="6">
        <f>H28*(1+Inputs!$C$20)</f>
        <v/>
      </c>
      <c r="J28" s="6">
        <f>I28*(1+Inputs!$C$20)</f>
        <v/>
      </c>
      <c r="K28" s="6">
        <f>J28*(1+Inputs!$C$20)</f>
        <v/>
      </c>
      <c r="L28" s="6">
        <f>K28*(1+Inputs!$C$20)</f>
        <v/>
      </c>
      <c r="M28" s="6">
        <f>L28*(1+Inputs!$C$20)</f>
        <v/>
      </c>
      <c r="N28" s="6">
        <f>M28*(1+Inputs!$C$20)</f>
        <v/>
      </c>
      <c r="O28" s="6">
        <f>N28*(1+Inputs!$C$20)</f>
        <v/>
      </c>
      <c r="P28" s="6">
        <f>O28*(1+Inputs!$C$20)</f>
        <v/>
      </c>
      <c r="Q28" s="6">
        <f>P28*(1+Inputs!$C$20)</f>
        <v/>
      </c>
      <c r="R28" s="6">
        <f>Q28*(1+Inputs!$C$20)</f>
        <v/>
      </c>
      <c r="S28" s="6">
        <f>R28*(1+Inputs!$C$20)</f>
        <v/>
      </c>
      <c r="T28" s="6">
        <f>S28*(1+Inputs!$C$20)</f>
        <v/>
      </c>
      <c r="U28" s="6">
        <f>T28*(1+Inputs!$C$20)</f>
        <v/>
      </c>
      <c r="V28" s="6">
        <f>U28*(1+Inputs!$C$20)</f>
        <v/>
      </c>
      <c r="W28" s="6">
        <f>V28*(1+Inputs!$C$20)</f>
        <v/>
      </c>
      <c r="X28" s="6">
        <f>W28*(1+Inputs!$C$20)</f>
        <v/>
      </c>
      <c r="Y28" s="6">
        <f>X28*(1+Inputs!$C$20)</f>
        <v/>
      </c>
      <c r="Z28" s="6">
        <f>Y28*(1+Inputs!$C$20)</f>
        <v/>
      </c>
      <c r="AA28" s="6">
        <f>Z28*(1+Inputs!$C$20)</f>
        <v/>
      </c>
    </row>
    <row r="29">
      <c r="A29" s="3" t="inlineStr">
        <is>
          <t>Bill w/ System ($)</t>
        </is>
      </c>
      <c r="B29" s="6" t="n">
        <v>0</v>
      </c>
      <c r="C29" s="10">
        <f>C28-Inputs!$C$43</f>
        <v/>
      </c>
      <c r="D29" s="6">
        <f>D28-Inputs!$C$43*(1+Inputs!$C$20)^(2-1)</f>
        <v/>
      </c>
      <c r="E29" s="6">
        <f>E28-Inputs!$C$43*(1+Inputs!$C$20)^(3-1)</f>
        <v/>
      </c>
      <c r="F29" s="6">
        <f>F28-Inputs!$C$43*(1+Inputs!$C$20)^(4-1)</f>
        <v/>
      </c>
      <c r="G29" s="6">
        <f>G28-Inputs!$C$43*(1+Inputs!$C$20)^(5-1)</f>
        <v/>
      </c>
      <c r="H29" s="6">
        <f>H28-Inputs!$C$43*(1+Inputs!$C$20)^(6-1)</f>
        <v/>
      </c>
      <c r="I29" s="6">
        <f>I28-Inputs!$C$43*(1+Inputs!$C$20)^(7-1)</f>
        <v/>
      </c>
      <c r="J29" s="6">
        <f>J28-Inputs!$C$43*(1+Inputs!$C$20)^(8-1)</f>
        <v/>
      </c>
      <c r="K29" s="6">
        <f>K28-Inputs!$C$43*(1+Inputs!$C$20)^(9-1)</f>
        <v/>
      </c>
      <c r="L29" s="6">
        <f>L28-Inputs!$C$43*(1+Inputs!$C$20)^(10-1)</f>
        <v/>
      </c>
      <c r="M29" s="6">
        <f>M28-Inputs!$C$43*(1+Inputs!$C$20)^(11-1)</f>
        <v/>
      </c>
      <c r="N29" s="6">
        <f>N28-Inputs!$C$43*(1+Inputs!$C$20)^(12-1)</f>
        <v/>
      </c>
      <c r="O29" s="6">
        <f>O28-Inputs!$C$43*(1+Inputs!$C$20)^(13-1)</f>
        <v/>
      </c>
      <c r="P29" s="6">
        <f>P28-Inputs!$C$43*(1+Inputs!$C$20)^(14-1)</f>
        <v/>
      </c>
      <c r="Q29" s="6">
        <f>Q28-Inputs!$C$43*(1+Inputs!$C$20)^(15-1)</f>
        <v/>
      </c>
      <c r="R29" s="6">
        <f>R28-Inputs!$C$43*(1+Inputs!$C$20)^(16-1)</f>
        <v/>
      </c>
      <c r="S29" s="6">
        <f>S28-Inputs!$C$43*(1+Inputs!$C$20)^(17-1)</f>
        <v/>
      </c>
      <c r="T29" s="6">
        <f>T28-Inputs!$C$43*(1+Inputs!$C$20)^(18-1)</f>
        <v/>
      </c>
      <c r="U29" s="6">
        <f>U28-Inputs!$C$43*(1+Inputs!$C$20)^(19-1)</f>
        <v/>
      </c>
      <c r="V29" s="6">
        <f>V28-Inputs!$C$43*(1+Inputs!$C$20)^(20-1)</f>
        <v/>
      </c>
      <c r="W29" s="6">
        <f>W28-Inputs!$C$43*(1+Inputs!$C$20)^(21-1)</f>
        <v/>
      </c>
      <c r="X29" s="6">
        <f>X28-Inputs!$C$43*(1+Inputs!$C$20)^(22-1)</f>
        <v/>
      </c>
      <c r="Y29" s="6">
        <f>Y28-Inputs!$C$43*(1+Inputs!$C$20)^(23-1)</f>
        <v/>
      </c>
      <c r="Z29" s="6">
        <f>Z28-Inputs!$C$43*(1+Inputs!$C$20)^(24-1)</f>
        <v/>
      </c>
      <c r="AA29" s="6">
        <f>AA28-Inputs!$C$43*(1+Inputs!$C$20)^(25-1)</f>
        <v/>
      </c>
    </row>
    <row r="30">
      <c r="A30" s="3" t="inlineStr">
        <is>
          <t>Bill Savings ($)</t>
        </is>
      </c>
      <c r="B30" s="6" t="n">
        <v>0</v>
      </c>
      <c r="C30" s="6">
        <f>C28-C29</f>
        <v/>
      </c>
      <c r="D30" s="6">
        <f>D28-D29</f>
        <v/>
      </c>
      <c r="E30" s="6">
        <f>E28-E29</f>
        <v/>
      </c>
      <c r="F30" s="6">
        <f>F28-F29</f>
        <v/>
      </c>
      <c r="G30" s="6">
        <f>G28-G29</f>
        <v/>
      </c>
      <c r="H30" s="6">
        <f>H28-H29</f>
        <v/>
      </c>
      <c r="I30" s="6">
        <f>I28-I29</f>
        <v/>
      </c>
      <c r="J30" s="6">
        <f>J28-J29</f>
        <v/>
      </c>
      <c r="K30" s="6">
        <f>K28-K29</f>
        <v/>
      </c>
      <c r="L30" s="6">
        <f>L28-L29</f>
        <v/>
      </c>
      <c r="M30" s="6">
        <f>M28-M29</f>
        <v/>
      </c>
      <c r="N30" s="6">
        <f>N28-N29</f>
        <v/>
      </c>
      <c r="O30" s="6">
        <f>O28-O29</f>
        <v/>
      </c>
      <c r="P30" s="6">
        <f>P28-P29</f>
        <v/>
      </c>
      <c r="Q30" s="6">
        <f>Q28-Q29</f>
        <v/>
      </c>
      <c r="R30" s="6">
        <f>R28-R29</f>
        <v/>
      </c>
      <c r="S30" s="6">
        <f>S28-S29</f>
        <v/>
      </c>
      <c r="T30" s="6">
        <f>T28-T29</f>
        <v/>
      </c>
      <c r="U30" s="6">
        <f>U28-U29</f>
        <v/>
      </c>
      <c r="V30" s="6">
        <f>V28-V29</f>
        <v/>
      </c>
      <c r="W30" s="6">
        <f>W28-W29</f>
        <v/>
      </c>
      <c r="X30" s="6">
        <f>X28-X29</f>
        <v/>
      </c>
      <c r="Y30" s="6">
        <f>Y28-Y29</f>
        <v/>
      </c>
      <c r="Z30" s="6">
        <f>Z28-Z29</f>
        <v/>
      </c>
      <c r="AA30" s="6">
        <f>AA28-AA29</f>
        <v/>
      </c>
    </row>
    <row r="31">
      <c r="A31" s="3" t="inlineStr">
        <is>
          <t>Incentive Annual ($)</t>
        </is>
      </c>
      <c r="B31" s="6" t="n">
        <v>0</v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</row>
    <row r="32">
      <c r="A32" s="3" t="inlineStr">
        <is>
          <t>Total Savings ($)</t>
        </is>
      </c>
      <c r="B32" s="6" t="n">
        <v>0</v>
      </c>
      <c r="C32" s="6">
        <f>C30+C31</f>
        <v/>
      </c>
      <c r="D32" s="6">
        <f>D30+D31</f>
        <v/>
      </c>
      <c r="E32" s="6">
        <f>E30+E31</f>
        <v/>
      </c>
      <c r="F32" s="6">
        <f>F30+F31</f>
        <v/>
      </c>
      <c r="G32" s="6">
        <f>G30+G31</f>
        <v/>
      </c>
      <c r="H32" s="6">
        <f>H30+H31</f>
        <v/>
      </c>
      <c r="I32" s="6">
        <f>I30+I31</f>
        <v/>
      </c>
      <c r="J32" s="6">
        <f>J30+J31</f>
        <v/>
      </c>
      <c r="K32" s="6">
        <f>K30+K31</f>
        <v/>
      </c>
      <c r="L32" s="6">
        <f>L30+L31</f>
        <v/>
      </c>
      <c r="M32" s="6">
        <f>M30+M31</f>
        <v/>
      </c>
      <c r="N32" s="6">
        <f>N30+N31</f>
        <v/>
      </c>
      <c r="O32" s="6">
        <f>O30+O31</f>
        <v/>
      </c>
      <c r="P32" s="6">
        <f>P30+P31</f>
        <v/>
      </c>
      <c r="Q32" s="6">
        <f>Q30+Q31</f>
        <v/>
      </c>
      <c r="R32" s="6">
        <f>R30+R31</f>
        <v/>
      </c>
      <c r="S32" s="6">
        <f>S30+S31</f>
        <v/>
      </c>
      <c r="T32" s="6">
        <f>T30+T31</f>
        <v/>
      </c>
      <c r="U32" s="6">
        <f>U30+U31</f>
        <v/>
      </c>
      <c r="V32" s="6">
        <f>V30+V31</f>
        <v/>
      </c>
      <c r="W32" s="6">
        <f>W30+W31</f>
        <v/>
      </c>
      <c r="X32" s="6">
        <f>X30+X31</f>
        <v/>
      </c>
      <c r="Y32" s="6">
        <f>Y30+Y31</f>
        <v/>
      </c>
      <c r="Z32" s="6">
        <f>Z30+Z31</f>
        <v/>
      </c>
      <c r="AA32" s="6">
        <f>AA30+AA31</f>
        <v/>
      </c>
    </row>
    <row r="33">
      <c r="A33" s="3" t="inlineStr">
        <is>
          <t>Net Savings ($)</t>
        </is>
      </c>
      <c r="B33" s="6" t="n">
        <v>0</v>
      </c>
      <c r="C33" s="6">
        <f>C32-C27</f>
        <v/>
      </c>
      <c r="D33" s="6">
        <f>D32-D27</f>
        <v/>
      </c>
      <c r="E33" s="6">
        <f>E32-E27</f>
        <v/>
      </c>
      <c r="F33" s="6">
        <f>F32-F27</f>
        <v/>
      </c>
      <c r="G33" s="6">
        <f>G32-G27</f>
        <v/>
      </c>
      <c r="H33" s="6">
        <f>H32-H27</f>
        <v/>
      </c>
      <c r="I33" s="6">
        <f>I32-I27</f>
        <v/>
      </c>
      <c r="J33" s="6">
        <f>J32-J27</f>
        <v/>
      </c>
      <c r="K33" s="6">
        <f>K32-K27</f>
        <v/>
      </c>
      <c r="L33" s="6">
        <f>L32-L27</f>
        <v/>
      </c>
      <c r="M33" s="6">
        <f>M32-M27</f>
        <v/>
      </c>
      <c r="N33" s="6">
        <f>N32-N27</f>
        <v/>
      </c>
      <c r="O33" s="6">
        <f>O32-O27</f>
        <v/>
      </c>
      <c r="P33" s="6">
        <f>P32-P27</f>
        <v/>
      </c>
      <c r="Q33" s="6">
        <f>Q32-Q27</f>
        <v/>
      </c>
      <c r="R33" s="6">
        <f>R32-R27</f>
        <v/>
      </c>
      <c r="S33" s="6">
        <f>S32-S27</f>
        <v/>
      </c>
      <c r="T33" s="6">
        <f>T32-T27</f>
        <v/>
      </c>
      <c r="U33" s="6">
        <f>U32-U27</f>
        <v/>
      </c>
      <c r="V33" s="6">
        <f>V32-V27</f>
        <v/>
      </c>
      <c r="W33" s="6">
        <f>W32-W27</f>
        <v/>
      </c>
      <c r="X33" s="6">
        <f>X32-X27</f>
        <v/>
      </c>
      <c r="Y33" s="6">
        <f>Y32-Y27</f>
        <v/>
      </c>
      <c r="Z33" s="6">
        <f>Z32-Z27</f>
        <v/>
      </c>
      <c r="AA33" s="6">
        <f>AA32-AA27</f>
        <v/>
      </c>
    </row>
    <row r="34">
      <c r="A34" s="3" t="inlineStr">
        <is>
          <t>Cumulative NPV ($)</t>
        </is>
      </c>
      <c r="B34" s="6" t="n">
        <v>0</v>
      </c>
      <c r="C34" s="6">
        <f>C33/(1+Inputs!$C$19)^1</f>
        <v/>
      </c>
      <c r="D34" s="6">
        <f>C34+D33/(1+Inputs!$C$19)^2</f>
        <v/>
      </c>
      <c r="E34" s="6">
        <f>D34+E33/(1+Inputs!$C$19)^3</f>
        <v/>
      </c>
      <c r="F34" s="6">
        <f>E34+F33/(1+Inputs!$C$19)^4</f>
        <v/>
      </c>
      <c r="G34" s="6">
        <f>F34+G33/(1+Inputs!$C$19)^5</f>
        <v/>
      </c>
      <c r="H34" s="6">
        <f>G34+H33/(1+Inputs!$C$19)^6</f>
        <v/>
      </c>
      <c r="I34" s="6">
        <f>H34+I33/(1+Inputs!$C$19)^7</f>
        <v/>
      </c>
      <c r="J34" s="6">
        <f>I34+J33/(1+Inputs!$C$19)^8</f>
        <v/>
      </c>
      <c r="K34" s="6">
        <f>J34+K33/(1+Inputs!$C$19)^9</f>
        <v/>
      </c>
      <c r="L34" s="6">
        <f>K34+L33/(1+Inputs!$C$19)^10</f>
        <v/>
      </c>
      <c r="M34" s="6">
        <f>L34+M33/(1+Inputs!$C$19)^11</f>
        <v/>
      </c>
      <c r="N34" s="6">
        <f>M34+N33/(1+Inputs!$C$19)^12</f>
        <v/>
      </c>
      <c r="O34" s="6">
        <f>N34+O33/(1+Inputs!$C$19)^13</f>
        <v/>
      </c>
      <c r="P34" s="6">
        <f>O34+P33/(1+Inputs!$C$19)^14</f>
        <v/>
      </c>
      <c r="Q34" s="6">
        <f>P34+Q33/(1+Inputs!$C$19)^15</f>
        <v/>
      </c>
      <c r="R34" s="6">
        <f>Q34+R33/(1+Inputs!$C$19)^16</f>
        <v/>
      </c>
      <c r="S34" s="6">
        <f>R34+S33/(1+Inputs!$C$19)^17</f>
        <v/>
      </c>
      <c r="T34" s="6">
        <f>S34+T33/(1+Inputs!$C$19)^18</f>
        <v/>
      </c>
      <c r="U34" s="6">
        <f>T34+U33/(1+Inputs!$C$19)^19</f>
        <v/>
      </c>
      <c r="V34" s="6">
        <f>U34+V33/(1+Inputs!$C$19)^20</f>
        <v/>
      </c>
      <c r="W34" s="6">
        <f>V34+W33/(1+Inputs!$C$19)^21</f>
        <v/>
      </c>
      <c r="X34" s="6">
        <f>W34+X33/(1+Inputs!$C$19)^22</f>
        <v/>
      </c>
      <c r="Y34" s="6">
        <f>X34+Y33/(1+Inputs!$C$19)^23</f>
        <v/>
      </c>
      <c r="Z34" s="6">
        <f>Y34+Z33/(1+Inputs!$C$19)^24</f>
        <v/>
      </c>
      <c r="AA34" s="6">
        <f>Z34+AA33/(1+Inputs!$C$19)^25</f>
        <v/>
      </c>
    </row>
    <row r="35">
      <c r="A35" s="11" t="inlineStr">
        <is>
          <t>Simple Payback (yr)</t>
        </is>
      </c>
      <c r="B35" s="12">
        <f>IF((C30+C31)&gt;0,B24/(C30+C31),"N/A")</f>
        <v/>
      </c>
    </row>
    <row r="36">
      <c r="A36" s="11" t="inlineStr">
        <is>
          <t>NPV Breakeven Year</t>
        </is>
      </c>
      <c r="B36" s="5" t="inlineStr">
        <is>
          <t>See Cumulative NPV row 34 for first year ≥ 0</t>
        </is>
      </c>
    </row>
    <row r="37"/>
    <row r="38"/>
    <row r="39">
      <c r="A39" s="8" t="inlineStr">
        <is>
          <t>PV+Storage — All Incentives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</row>
    <row r="40">
      <c r="A40" s="2" t="inlineStr">
        <is>
          <t>Year</t>
        </is>
      </c>
      <c r="B40" s="3" t="n">
        <v>0</v>
      </c>
      <c r="C40" s="3" t="n">
        <v>1</v>
      </c>
      <c r="D40" s="3" t="n">
        <v>2</v>
      </c>
      <c r="E40" s="3" t="n">
        <v>3</v>
      </c>
      <c r="F40" s="3" t="n">
        <v>4</v>
      </c>
      <c r="G40" s="3" t="n">
        <v>5</v>
      </c>
      <c r="H40" s="3" t="n">
        <v>6</v>
      </c>
      <c r="I40" s="3" t="n">
        <v>7</v>
      </c>
      <c r="J40" s="3" t="n">
        <v>8</v>
      </c>
      <c r="K40" s="3" t="n">
        <v>9</v>
      </c>
      <c r="L40" s="3" t="n">
        <v>10</v>
      </c>
      <c r="M40" s="3" t="n">
        <v>11</v>
      </c>
      <c r="N40" s="3" t="n">
        <v>12</v>
      </c>
      <c r="O40" s="3" t="n">
        <v>13</v>
      </c>
      <c r="P40" s="3" t="n">
        <v>14</v>
      </c>
      <c r="Q40" s="3" t="n">
        <v>15</v>
      </c>
      <c r="R40" s="3" t="n">
        <v>16</v>
      </c>
      <c r="S40" s="3" t="n">
        <v>17</v>
      </c>
      <c r="T40" s="3" t="n">
        <v>18</v>
      </c>
      <c r="U40" s="3" t="n">
        <v>19</v>
      </c>
      <c r="V40" s="3" t="n">
        <v>20</v>
      </c>
      <c r="W40" s="3" t="n">
        <v>21</v>
      </c>
      <c r="X40" s="3" t="n">
        <v>22</v>
      </c>
      <c r="Y40" s="3" t="n">
        <v>23</v>
      </c>
      <c r="Z40" s="3" t="n">
        <v>24</v>
      </c>
      <c r="AA40" s="3" t="n">
        <v>25</v>
      </c>
    </row>
    <row r="41">
      <c r="A41" s="3" t="inlineStr">
        <is>
          <t>Debt Balance ($)</t>
        </is>
      </c>
      <c r="B41" s="6">
        <f>Inputs!C14-Inputs!C34</f>
        <v/>
      </c>
      <c r="C41" s="6">
        <f>B41-C43</f>
        <v/>
      </c>
      <c r="D41" s="6">
        <f>C41-D43</f>
        <v/>
      </c>
      <c r="E41" s="6">
        <f>D41-E43</f>
        <v/>
      </c>
      <c r="F41" s="6">
        <f>E41-F43</f>
        <v/>
      </c>
      <c r="G41" s="6">
        <f>F41-G43</f>
        <v/>
      </c>
      <c r="H41" s="6">
        <f>G41-H43</f>
        <v/>
      </c>
      <c r="I41" s="6">
        <f>H41-I43</f>
        <v/>
      </c>
      <c r="J41" s="6">
        <f>I41-J43</f>
        <v/>
      </c>
      <c r="K41" s="6">
        <f>J41-K43</f>
        <v/>
      </c>
      <c r="L41" s="6">
        <f>K41-L43</f>
        <v/>
      </c>
      <c r="M41" s="6">
        <f>L41-M43</f>
        <v/>
      </c>
      <c r="N41" s="6">
        <f>M41-N43</f>
        <v/>
      </c>
      <c r="O41" s="6">
        <f>N41-O43</f>
        <v/>
      </c>
      <c r="P41" s="6">
        <f>O41-P43</f>
        <v/>
      </c>
      <c r="Q41" s="6">
        <f>P41-Q43</f>
        <v/>
      </c>
      <c r="R41" s="6">
        <f>Q41-R43</f>
        <v/>
      </c>
      <c r="S41" s="6">
        <f>R41-S43</f>
        <v/>
      </c>
      <c r="T41" s="6">
        <f>S41-T43</f>
        <v/>
      </c>
      <c r="U41" s="6">
        <f>T41-U43</f>
        <v/>
      </c>
      <c r="V41" s="6">
        <f>U41-V43</f>
        <v/>
      </c>
      <c r="W41" s="6">
        <f>V41-W43</f>
        <v/>
      </c>
      <c r="X41" s="6">
        <f>W41-X43</f>
        <v/>
      </c>
      <c r="Y41" s="6">
        <f>X41-Y43</f>
        <v/>
      </c>
      <c r="Z41" s="6">
        <f>Y41-Z43</f>
        <v/>
      </c>
      <c r="AA41" s="6">
        <f>Z41-AA43</f>
        <v/>
      </c>
    </row>
    <row r="42">
      <c r="A42" s="3" t="inlineStr">
        <is>
          <t>Interest Payment ($)</t>
        </is>
      </c>
      <c r="B42" s="6" t="n">
        <v>0</v>
      </c>
      <c r="C42" s="6">
        <f>B41*Inputs!$C$17</f>
        <v/>
      </c>
      <c r="D42" s="6">
        <f>C41*Inputs!$C$17</f>
        <v/>
      </c>
      <c r="E42" s="6">
        <f>D41*Inputs!$C$17</f>
        <v/>
      </c>
      <c r="F42" s="6">
        <f>E41*Inputs!$C$17</f>
        <v/>
      </c>
      <c r="G42" s="6">
        <f>F41*Inputs!$C$17</f>
        <v/>
      </c>
      <c r="H42" s="6">
        <f>G41*Inputs!$C$17</f>
        <v/>
      </c>
      <c r="I42" s="6">
        <f>H41*Inputs!$C$17</f>
        <v/>
      </c>
      <c r="J42" s="6">
        <f>I41*Inputs!$C$17</f>
        <v/>
      </c>
      <c r="K42" s="6">
        <f>J41*Inputs!$C$17</f>
        <v/>
      </c>
      <c r="L42" s="6">
        <f>K41*Inputs!$C$17</f>
        <v/>
      </c>
      <c r="M42" s="6">
        <f>L41*Inputs!$C$17</f>
        <v/>
      </c>
      <c r="N42" s="6">
        <f>M41*Inputs!$C$17</f>
        <v/>
      </c>
      <c r="O42" s="6">
        <f>N41*Inputs!$C$17</f>
        <v/>
      </c>
      <c r="P42" s="6">
        <f>O41*Inputs!$C$17</f>
        <v/>
      </c>
      <c r="Q42" s="6">
        <f>P41*Inputs!$C$17</f>
        <v/>
      </c>
      <c r="R42" s="6">
        <f>Q41*Inputs!$C$17</f>
        <v/>
      </c>
      <c r="S42" s="6">
        <f>R41*Inputs!$C$17</f>
        <v/>
      </c>
      <c r="T42" s="6">
        <f>S41*Inputs!$C$17</f>
        <v/>
      </c>
      <c r="U42" s="6">
        <f>T41*Inputs!$C$17</f>
        <v/>
      </c>
      <c r="V42" s="6">
        <f>U41*Inputs!$C$17</f>
        <v/>
      </c>
      <c r="W42" s="6">
        <f>V41*Inputs!$C$17</f>
        <v/>
      </c>
      <c r="X42" s="6">
        <f>W41*Inputs!$C$17</f>
        <v/>
      </c>
      <c r="Y42" s="6">
        <f>X41*Inputs!$C$17</f>
        <v/>
      </c>
      <c r="Z42" s="6">
        <f>Y41*Inputs!$C$17</f>
        <v/>
      </c>
      <c r="AA42" s="6">
        <f>Z41*Inputs!$C$17</f>
        <v/>
      </c>
    </row>
    <row r="43">
      <c r="A43" s="3" t="inlineStr">
        <is>
          <t>Principal Payment ($)</t>
        </is>
      </c>
      <c r="B43" s="6" t="n">
        <v>0</v>
      </c>
      <c r="C43" s="6">
        <f>-PMT(Inputs!$C$17,Inputs!$C$18,$B$41)-C42</f>
        <v/>
      </c>
      <c r="D43" s="6">
        <f>-PMT(Inputs!$C$17,Inputs!$C$18,$B$41)-D42</f>
        <v/>
      </c>
      <c r="E43" s="6">
        <f>-PMT(Inputs!$C$17,Inputs!$C$18,$B$41)-E42</f>
        <v/>
      </c>
      <c r="F43" s="6">
        <f>-PMT(Inputs!$C$17,Inputs!$C$18,$B$41)-F42</f>
        <v/>
      </c>
      <c r="G43" s="6">
        <f>-PMT(Inputs!$C$17,Inputs!$C$18,$B$41)-G42</f>
        <v/>
      </c>
      <c r="H43" s="6">
        <f>-PMT(Inputs!$C$17,Inputs!$C$18,$B$41)-H42</f>
        <v/>
      </c>
      <c r="I43" s="6">
        <f>-PMT(Inputs!$C$17,Inputs!$C$18,$B$41)-I42</f>
        <v/>
      </c>
      <c r="J43" s="6">
        <f>-PMT(Inputs!$C$17,Inputs!$C$18,$B$41)-J42</f>
        <v/>
      </c>
      <c r="K43" s="6">
        <f>-PMT(Inputs!$C$17,Inputs!$C$18,$B$41)-K42</f>
        <v/>
      </c>
      <c r="L43" s="6">
        <f>-PMT(Inputs!$C$17,Inputs!$C$18,$B$41)-L42</f>
        <v/>
      </c>
      <c r="M43" s="6">
        <f>-PMT(Inputs!$C$17,Inputs!$C$18,$B$41)-M42</f>
        <v/>
      </c>
      <c r="N43" s="6">
        <f>-PMT(Inputs!$C$17,Inputs!$C$18,$B$41)-N42</f>
        <v/>
      </c>
      <c r="O43" s="6">
        <f>-PMT(Inputs!$C$17,Inputs!$C$18,$B$41)-O42</f>
        <v/>
      </c>
      <c r="P43" s="6">
        <f>-PMT(Inputs!$C$17,Inputs!$C$18,$B$41)-P42</f>
        <v/>
      </c>
      <c r="Q43" s="6">
        <f>-PMT(Inputs!$C$17,Inputs!$C$18,$B$41)-Q42</f>
        <v/>
      </c>
      <c r="R43" s="6">
        <f>-PMT(Inputs!$C$17,Inputs!$C$18,$B$41)-R42</f>
        <v/>
      </c>
      <c r="S43" s="6">
        <f>-PMT(Inputs!$C$17,Inputs!$C$18,$B$41)-S42</f>
        <v/>
      </c>
      <c r="T43" s="6">
        <f>-PMT(Inputs!$C$17,Inputs!$C$18,$B$41)-T42</f>
        <v/>
      </c>
      <c r="U43" s="6">
        <f>-PMT(Inputs!$C$17,Inputs!$C$18,$B$41)-U42</f>
        <v/>
      </c>
      <c r="V43" s="6">
        <f>-PMT(Inputs!$C$17,Inputs!$C$18,$B$41)-V42</f>
        <v/>
      </c>
      <c r="W43" s="6">
        <f>-PMT(Inputs!$C$17,Inputs!$C$18,$B$41)-W42</f>
        <v/>
      </c>
      <c r="X43" s="6">
        <f>-PMT(Inputs!$C$17,Inputs!$C$18,$B$41)-X42</f>
        <v/>
      </c>
      <c r="Y43" s="6">
        <f>-PMT(Inputs!$C$17,Inputs!$C$18,$B$41)-Y42</f>
        <v/>
      </c>
      <c r="Z43" s="6">
        <f>-PMT(Inputs!$C$17,Inputs!$C$18,$B$41)-Z42</f>
        <v/>
      </c>
      <c r="AA43" s="6">
        <f>-PMT(Inputs!$C$17,Inputs!$C$18,$B$41)-AA42</f>
        <v/>
      </c>
    </row>
    <row r="44">
      <c r="A44" s="3" t="inlineStr">
        <is>
          <t>Total P&amp;I Payment ($)</t>
        </is>
      </c>
      <c r="B44" s="6" t="n">
        <v>0</v>
      </c>
      <c r="C44" s="6">
        <f>C42+C43</f>
        <v/>
      </c>
      <c r="D44" s="6">
        <f>D42+D43</f>
        <v/>
      </c>
      <c r="E44" s="6">
        <f>E42+E43</f>
        <v/>
      </c>
      <c r="F44" s="6">
        <f>F42+F43</f>
        <v/>
      </c>
      <c r="G44" s="6">
        <f>G42+G43</f>
        <v/>
      </c>
      <c r="H44" s="6">
        <f>H42+H43</f>
        <v/>
      </c>
      <c r="I44" s="6">
        <f>I42+I43</f>
        <v/>
      </c>
      <c r="J44" s="6">
        <f>J42+J43</f>
        <v/>
      </c>
      <c r="K44" s="6">
        <f>K42+K43</f>
        <v/>
      </c>
      <c r="L44" s="6">
        <f>L42+L43</f>
        <v/>
      </c>
      <c r="M44" s="6">
        <f>M42+M43</f>
        <v/>
      </c>
      <c r="N44" s="6">
        <f>N42+N43</f>
        <v/>
      </c>
      <c r="O44" s="6">
        <f>O42+O43</f>
        <v/>
      </c>
      <c r="P44" s="6">
        <f>P42+P43</f>
        <v/>
      </c>
      <c r="Q44" s="6">
        <f>Q42+Q43</f>
        <v/>
      </c>
      <c r="R44" s="6">
        <f>R42+R43</f>
        <v/>
      </c>
      <c r="S44" s="6">
        <f>S42+S43</f>
        <v/>
      </c>
      <c r="T44" s="6">
        <f>T42+T43</f>
        <v/>
      </c>
      <c r="U44" s="6">
        <f>U42+U43</f>
        <v/>
      </c>
      <c r="V44" s="6">
        <f>V42+V43</f>
        <v/>
      </c>
      <c r="W44" s="6">
        <f>W42+W43</f>
        <v/>
      </c>
      <c r="X44" s="6">
        <f>X42+X43</f>
        <v/>
      </c>
      <c r="Y44" s="6">
        <f>Y42+Y43</f>
        <v/>
      </c>
      <c r="Z44" s="6">
        <f>Z42+Z43</f>
        <v/>
      </c>
      <c r="AA44" s="6">
        <f>AA42+AA43</f>
        <v/>
      </c>
    </row>
    <row r="45">
      <c r="A45" s="3" t="inlineStr">
        <is>
          <t>Bill w/o System ($)</t>
        </is>
      </c>
      <c r="B45" s="6" t="n">
        <v>0</v>
      </c>
      <c r="C45" s="10">
        <f>Inputs!$C$30</f>
        <v/>
      </c>
      <c r="D45" s="6">
        <f>C45*(1+Inputs!$C$20)</f>
        <v/>
      </c>
      <c r="E45" s="6">
        <f>D45*(1+Inputs!$C$20)</f>
        <v/>
      </c>
      <c r="F45" s="6">
        <f>E45*(1+Inputs!$C$20)</f>
        <v/>
      </c>
      <c r="G45" s="6">
        <f>F45*(1+Inputs!$C$20)</f>
        <v/>
      </c>
      <c r="H45" s="6">
        <f>G45*(1+Inputs!$C$20)</f>
        <v/>
      </c>
      <c r="I45" s="6">
        <f>H45*(1+Inputs!$C$20)</f>
        <v/>
      </c>
      <c r="J45" s="6">
        <f>I45*(1+Inputs!$C$20)</f>
        <v/>
      </c>
      <c r="K45" s="6">
        <f>J45*(1+Inputs!$C$20)</f>
        <v/>
      </c>
      <c r="L45" s="6">
        <f>K45*(1+Inputs!$C$20)</f>
        <v/>
      </c>
      <c r="M45" s="6">
        <f>L45*(1+Inputs!$C$20)</f>
        <v/>
      </c>
      <c r="N45" s="6">
        <f>M45*(1+Inputs!$C$20)</f>
        <v/>
      </c>
      <c r="O45" s="6">
        <f>N45*(1+Inputs!$C$20)</f>
        <v/>
      </c>
      <c r="P45" s="6">
        <f>O45*(1+Inputs!$C$20)</f>
        <v/>
      </c>
      <c r="Q45" s="6">
        <f>P45*(1+Inputs!$C$20)</f>
        <v/>
      </c>
      <c r="R45" s="6">
        <f>Q45*(1+Inputs!$C$20)</f>
        <v/>
      </c>
      <c r="S45" s="6">
        <f>R45*(1+Inputs!$C$20)</f>
        <v/>
      </c>
      <c r="T45" s="6">
        <f>S45*(1+Inputs!$C$20)</f>
        <v/>
      </c>
      <c r="U45" s="6">
        <f>T45*(1+Inputs!$C$20)</f>
        <v/>
      </c>
      <c r="V45" s="6">
        <f>U45*(1+Inputs!$C$20)</f>
        <v/>
      </c>
      <c r="W45" s="6">
        <f>V45*(1+Inputs!$C$20)</f>
        <v/>
      </c>
      <c r="X45" s="6">
        <f>W45*(1+Inputs!$C$20)</f>
        <v/>
      </c>
      <c r="Y45" s="6">
        <f>X45*(1+Inputs!$C$20)</f>
        <v/>
      </c>
      <c r="Z45" s="6">
        <f>Y45*(1+Inputs!$C$20)</f>
        <v/>
      </c>
      <c r="AA45" s="6">
        <f>Z45*(1+Inputs!$C$20)</f>
        <v/>
      </c>
    </row>
    <row r="46">
      <c r="A46" s="3" t="inlineStr">
        <is>
          <t>Bill w/ System ($)</t>
        </is>
      </c>
      <c r="B46" s="6" t="n">
        <v>0</v>
      </c>
      <c r="C46" s="10">
        <f>C45-Inputs!$D$43</f>
        <v/>
      </c>
      <c r="D46" s="6">
        <f>D45-Inputs!$D$43*(1+Inputs!$C$20)^(2-1)</f>
        <v/>
      </c>
      <c r="E46" s="6">
        <f>E45-Inputs!$D$43*(1+Inputs!$C$20)^(3-1)</f>
        <v/>
      </c>
      <c r="F46" s="6">
        <f>F45-Inputs!$D$43*(1+Inputs!$C$20)^(4-1)</f>
        <v/>
      </c>
      <c r="G46" s="6">
        <f>G45-Inputs!$D$43*(1+Inputs!$C$20)^(5-1)</f>
        <v/>
      </c>
      <c r="H46" s="6">
        <f>H45-Inputs!$D$43*(1+Inputs!$C$20)^(6-1)</f>
        <v/>
      </c>
      <c r="I46" s="6">
        <f>I45-Inputs!$D$43*(1+Inputs!$C$20)^(7-1)</f>
        <v/>
      </c>
      <c r="J46" s="6">
        <f>J45-Inputs!$D$43*(1+Inputs!$C$20)^(8-1)</f>
        <v/>
      </c>
      <c r="K46" s="6">
        <f>K45-Inputs!$D$43*(1+Inputs!$C$20)^(9-1)</f>
        <v/>
      </c>
      <c r="L46" s="6">
        <f>L45-Inputs!$D$43*(1+Inputs!$C$20)^(10-1)</f>
        <v/>
      </c>
      <c r="M46" s="6">
        <f>M45-Inputs!$D$43*(1+Inputs!$C$20)^(11-1)</f>
        <v/>
      </c>
      <c r="N46" s="6">
        <f>N45-Inputs!$D$43*(1+Inputs!$C$20)^(12-1)</f>
        <v/>
      </c>
      <c r="O46" s="6">
        <f>O45-Inputs!$D$43*(1+Inputs!$C$20)^(13-1)</f>
        <v/>
      </c>
      <c r="P46" s="6">
        <f>P45-Inputs!$D$43*(1+Inputs!$C$20)^(14-1)</f>
        <v/>
      </c>
      <c r="Q46" s="6">
        <f>Q45-Inputs!$D$43*(1+Inputs!$C$20)^(15-1)</f>
        <v/>
      </c>
      <c r="R46" s="6">
        <f>R45-Inputs!$D$43*(1+Inputs!$C$20)^(16-1)</f>
        <v/>
      </c>
      <c r="S46" s="6">
        <f>S45-Inputs!$D$43*(1+Inputs!$C$20)^(17-1)</f>
        <v/>
      </c>
      <c r="T46" s="6">
        <f>T45-Inputs!$D$43*(1+Inputs!$C$20)^(18-1)</f>
        <v/>
      </c>
      <c r="U46" s="6">
        <f>U45-Inputs!$D$43*(1+Inputs!$C$20)^(19-1)</f>
        <v/>
      </c>
      <c r="V46" s="6">
        <f>V45-Inputs!$D$43*(1+Inputs!$C$20)^(20-1)</f>
        <v/>
      </c>
      <c r="W46" s="6">
        <f>W45-Inputs!$D$43*(1+Inputs!$C$20)^(21-1)</f>
        <v/>
      </c>
      <c r="X46" s="6">
        <f>X45-Inputs!$D$43*(1+Inputs!$C$20)^(22-1)</f>
        <v/>
      </c>
      <c r="Y46" s="6">
        <f>Y45-Inputs!$D$43*(1+Inputs!$C$20)^(23-1)</f>
        <v/>
      </c>
      <c r="Z46" s="6">
        <f>Z45-Inputs!$D$43*(1+Inputs!$C$20)^(24-1)</f>
        <v/>
      </c>
      <c r="AA46" s="6">
        <f>AA45-Inputs!$D$43*(1+Inputs!$C$20)^(25-1)</f>
        <v/>
      </c>
    </row>
    <row r="47">
      <c r="A47" s="3" t="inlineStr">
        <is>
          <t>Bill Savings ($)</t>
        </is>
      </c>
      <c r="B47" s="6" t="n">
        <v>0</v>
      </c>
      <c r="C47" s="6">
        <f>C45-C46</f>
        <v/>
      </c>
      <c r="D47" s="6">
        <f>D45-D46</f>
        <v/>
      </c>
      <c r="E47" s="6">
        <f>E45-E46</f>
        <v/>
      </c>
      <c r="F47" s="6">
        <f>F45-F46</f>
        <v/>
      </c>
      <c r="G47" s="6">
        <f>G45-G46</f>
        <v/>
      </c>
      <c r="H47" s="6">
        <f>H45-H46</f>
        <v/>
      </c>
      <c r="I47" s="6">
        <f>I45-I46</f>
        <v/>
      </c>
      <c r="J47" s="6">
        <f>J45-J46</f>
        <v/>
      </c>
      <c r="K47" s="6">
        <f>K45-K46</f>
        <v/>
      </c>
      <c r="L47" s="6">
        <f>L45-L46</f>
        <v/>
      </c>
      <c r="M47" s="6">
        <f>M45-M46</f>
        <v/>
      </c>
      <c r="N47" s="6">
        <f>N45-N46</f>
        <v/>
      </c>
      <c r="O47" s="6">
        <f>O45-O46</f>
        <v/>
      </c>
      <c r="P47" s="6">
        <f>P45-P46</f>
        <v/>
      </c>
      <c r="Q47" s="6">
        <f>Q45-Q46</f>
        <v/>
      </c>
      <c r="R47" s="6">
        <f>R45-R46</f>
        <v/>
      </c>
      <c r="S47" s="6">
        <f>S45-S46</f>
        <v/>
      </c>
      <c r="T47" s="6">
        <f>T45-T46</f>
        <v/>
      </c>
      <c r="U47" s="6">
        <f>U45-U46</f>
        <v/>
      </c>
      <c r="V47" s="6">
        <f>V45-V46</f>
        <v/>
      </c>
      <c r="W47" s="6">
        <f>W45-W46</f>
        <v/>
      </c>
      <c r="X47" s="6">
        <f>X45-X46</f>
        <v/>
      </c>
      <c r="Y47" s="6">
        <f>Y45-Y46</f>
        <v/>
      </c>
      <c r="Z47" s="6">
        <f>Z45-Z46</f>
        <v/>
      </c>
      <c r="AA47" s="6">
        <f>AA45-AA46</f>
        <v/>
      </c>
    </row>
    <row r="48">
      <c r="A48" s="3" t="inlineStr">
        <is>
          <t>Incentive Annual ($)</t>
        </is>
      </c>
      <c r="B48" s="6" t="n">
        <v>0</v>
      </c>
      <c r="C48" s="10">
        <f>IF(1&lt;=Inputs!$C$38,Inputs!$C$36,0)+Inputs!$C$37</f>
        <v/>
      </c>
      <c r="D48" s="10">
        <f>IF(2&lt;=Inputs!$C$38,Inputs!$C$36,0)+Inputs!$C$37</f>
        <v/>
      </c>
      <c r="E48" s="10">
        <f>IF(3&lt;=Inputs!$C$38,Inputs!$C$36,0)+Inputs!$C$37</f>
        <v/>
      </c>
      <c r="F48" s="10">
        <f>IF(4&lt;=Inputs!$C$38,Inputs!$C$36,0)+Inputs!$C$37</f>
        <v/>
      </c>
      <c r="G48" s="10">
        <f>IF(5&lt;=Inputs!$C$38,Inputs!$C$36,0)+Inputs!$C$37</f>
        <v/>
      </c>
      <c r="H48" s="10">
        <f>IF(6&lt;=Inputs!$C$38,Inputs!$C$36,0)+Inputs!$C$37</f>
        <v/>
      </c>
      <c r="I48" s="10">
        <f>IF(7&lt;=Inputs!$C$38,Inputs!$C$36,0)+Inputs!$C$37</f>
        <v/>
      </c>
      <c r="J48" s="10">
        <f>IF(8&lt;=Inputs!$C$38,Inputs!$C$36,0)+Inputs!$C$37</f>
        <v/>
      </c>
      <c r="K48" s="10">
        <f>IF(9&lt;=Inputs!$C$38,Inputs!$C$36,0)+Inputs!$C$37</f>
        <v/>
      </c>
      <c r="L48" s="10">
        <f>IF(10&lt;=Inputs!$C$38,Inputs!$C$36,0)+Inputs!$C$37</f>
        <v/>
      </c>
      <c r="M48" s="10">
        <f>IF(11&lt;=Inputs!$C$38,Inputs!$C$36,0)+Inputs!$C$37</f>
        <v/>
      </c>
      <c r="N48" s="10">
        <f>IF(12&lt;=Inputs!$C$38,Inputs!$C$36,0)+Inputs!$C$37</f>
        <v/>
      </c>
      <c r="O48" s="10">
        <f>IF(13&lt;=Inputs!$C$38,Inputs!$C$36,0)+Inputs!$C$37</f>
        <v/>
      </c>
      <c r="P48" s="10">
        <f>IF(14&lt;=Inputs!$C$38,Inputs!$C$36,0)+Inputs!$C$37</f>
        <v/>
      </c>
      <c r="Q48" s="10">
        <f>IF(15&lt;=Inputs!$C$38,Inputs!$C$36,0)+Inputs!$C$37</f>
        <v/>
      </c>
      <c r="R48" s="10">
        <f>IF(16&lt;=Inputs!$C$38,Inputs!$C$36,0)+Inputs!$C$37</f>
        <v/>
      </c>
      <c r="S48" s="10">
        <f>IF(17&lt;=Inputs!$C$38,Inputs!$C$36,0)+Inputs!$C$37</f>
        <v/>
      </c>
      <c r="T48" s="10">
        <f>IF(18&lt;=Inputs!$C$38,Inputs!$C$36,0)+Inputs!$C$37</f>
        <v/>
      </c>
      <c r="U48" s="10">
        <f>IF(19&lt;=Inputs!$C$38,Inputs!$C$36,0)+Inputs!$C$37</f>
        <v/>
      </c>
      <c r="V48" s="10">
        <f>IF(20&lt;=Inputs!$C$38,Inputs!$C$36,0)+Inputs!$C$37</f>
        <v/>
      </c>
      <c r="W48" s="10">
        <f>IF(21&lt;=Inputs!$C$38,Inputs!$C$36,0)+Inputs!$C$37</f>
        <v/>
      </c>
      <c r="X48" s="10">
        <f>IF(22&lt;=Inputs!$C$38,Inputs!$C$36,0)+Inputs!$C$37</f>
        <v/>
      </c>
      <c r="Y48" s="10">
        <f>IF(23&lt;=Inputs!$C$38,Inputs!$C$36,0)+Inputs!$C$37</f>
        <v/>
      </c>
      <c r="Z48" s="10">
        <f>IF(24&lt;=Inputs!$C$38,Inputs!$C$36,0)+Inputs!$C$37</f>
        <v/>
      </c>
      <c r="AA48" s="10">
        <f>IF(25&lt;=Inputs!$C$38,Inputs!$C$36,0)+Inputs!$C$37</f>
        <v/>
      </c>
    </row>
    <row r="49">
      <c r="A49" s="3" t="inlineStr">
        <is>
          <t>Total Savings ($)</t>
        </is>
      </c>
      <c r="B49" s="6" t="n">
        <v>0</v>
      </c>
      <c r="C49" s="6">
        <f>C47+C48</f>
        <v/>
      </c>
      <c r="D49" s="6">
        <f>D47+D48</f>
        <v/>
      </c>
      <c r="E49" s="6">
        <f>E47+E48</f>
        <v/>
      </c>
      <c r="F49" s="6">
        <f>F47+F48</f>
        <v/>
      </c>
      <c r="G49" s="6">
        <f>G47+G48</f>
        <v/>
      </c>
      <c r="H49" s="6">
        <f>H47+H48</f>
        <v/>
      </c>
      <c r="I49" s="6">
        <f>I47+I48</f>
        <v/>
      </c>
      <c r="J49" s="6">
        <f>J47+J48</f>
        <v/>
      </c>
      <c r="K49" s="6">
        <f>K47+K48</f>
        <v/>
      </c>
      <c r="L49" s="6">
        <f>L47+L48</f>
        <v/>
      </c>
      <c r="M49" s="6">
        <f>M47+M48</f>
        <v/>
      </c>
      <c r="N49" s="6">
        <f>N47+N48</f>
        <v/>
      </c>
      <c r="O49" s="6">
        <f>O47+O48</f>
        <v/>
      </c>
      <c r="P49" s="6">
        <f>P47+P48</f>
        <v/>
      </c>
      <c r="Q49" s="6">
        <f>Q47+Q48</f>
        <v/>
      </c>
      <c r="R49" s="6">
        <f>R47+R48</f>
        <v/>
      </c>
      <c r="S49" s="6">
        <f>S47+S48</f>
        <v/>
      </c>
      <c r="T49" s="6">
        <f>T47+T48</f>
        <v/>
      </c>
      <c r="U49" s="6">
        <f>U47+U48</f>
        <v/>
      </c>
      <c r="V49" s="6">
        <f>V47+V48</f>
        <v/>
      </c>
      <c r="W49" s="6">
        <f>W47+W48</f>
        <v/>
      </c>
      <c r="X49" s="6">
        <f>X47+X48</f>
        <v/>
      </c>
      <c r="Y49" s="6">
        <f>Y47+Y48</f>
        <v/>
      </c>
      <c r="Z49" s="6">
        <f>Z47+Z48</f>
        <v/>
      </c>
      <c r="AA49" s="6">
        <f>AA47+AA48</f>
        <v/>
      </c>
    </row>
    <row r="50">
      <c r="A50" s="3" t="inlineStr">
        <is>
          <t>Net Savings ($)</t>
        </is>
      </c>
      <c r="B50" s="6" t="n">
        <v>0</v>
      </c>
      <c r="C50" s="6">
        <f>C49-C44</f>
        <v/>
      </c>
      <c r="D50" s="6">
        <f>D49-D44</f>
        <v/>
      </c>
      <c r="E50" s="6">
        <f>E49-E44</f>
        <v/>
      </c>
      <c r="F50" s="6">
        <f>F49-F44</f>
        <v/>
      </c>
      <c r="G50" s="6">
        <f>G49-G44</f>
        <v/>
      </c>
      <c r="H50" s="6">
        <f>H49-H44</f>
        <v/>
      </c>
      <c r="I50" s="6">
        <f>I49-I44</f>
        <v/>
      </c>
      <c r="J50" s="6">
        <f>J49-J44</f>
        <v/>
      </c>
      <c r="K50" s="6">
        <f>K49-K44</f>
        <v/>
      </c>
      <c r="L50" s="6">
        <f>L49-L44</f>
        <v/>
      </c>
      <c r="M50" s="6">
        <f>M49-M44</f>
        <v/>
      </c>
      <c r="N50" s="6">
        <f>N49-N44</f>
        <v/>
      </c>
      <c r="O50" s="6">
        <f>O49-O44</f>
        <v/>
      </c>
      <c r="P50" s="6">
        <f>P49-P44</f>
        <v/>
      </c>
      <c r="Q50" s="6">
        <f>Q49-Q44</f>
        <v/>
      </c>
      <c r="R50" s="6">
        <f>R49-R44</f>
        <v/>
      </c>
      <c r="S50" s="6">
        <f>S49-S44</f>
        <v/>
      </c>
      <c r="T50" s="6">
        <f>T49-T44</f>
        <v/>
      </c>
      <c r="U50" s="6">
        <f>U49-U44</f>
        <v/>
      </c>
      <c r="V50" s="6">
        <f>V49-V44</f>
        <v/>
      </c>
      <c r="W50" s="6">
        <f>W49-W44</f>
        <v/>
      </c>
      <c r="X50" s="6">
        <f>X49-X44</f>
        <v/>
      </c>
      <c r="Y50" s="6">
        <f>Y49-Y44</f>
        <v/>
      </c>
      <c r="Z50" s="6">
        <f>Z49-Z44</f>
        <v/>
      </c>
      <c r="AA50" s="6">
        <f>AA49-AA44</f>
        <v/>
      </c>
    </row>
    <row r="51">
      <c r="A51" s="3" t="inlineStr">
        <is>
          <t>Cumulative NPV ($)</t>
        </is>
      </c>
      <c r="B51" s="6" t="n">
        <v>0</v>
      </c>
      <c r="C51" s="6">
        <f>C50/(1+Inputs!$C$19)^1</f>
        <v/>
      </c>
      <c r="D51" s="6">
        <f>C51+D50/(1+Inputs!$C$19)^2</f>
        <v/>
      </c>
      <c r="E51" s="6">
        <f>D51+E50/(1+Inputs!$C$19)^3</f>
        <v/>
      </c>
      <c r="F51" s="6">
        <f>E51+F50/(1+Inputs!$C$19)^4</f>
        <v/>
      </c>
      <c r="G51" s="6">
        <f>F51+G50/(1+Inputs!$C$19)^5</f>
        <v/>
      </c>
      <c r="H51" s="6">
        <f>G51+H50/(1+Inputs!$C$19)^6</f>
        <v/>
      </c>
      <c r="I51" s="6">
        <f>H51+I50/(1+Inputs!$C$19)^7</f>
        <v/>
      </c>
      <c r="J51" s="6">
        <f>I51+J50/(1+Inputs!$C$19)^8</f>
        <v/>
      </c>
      <c r="K51" s="6">
        <f>J51+K50/(1+Inputs!$C$19)^9</f>
        <v/>
      </c>
      <c r="L51" s="6">
        <f>K51+L50/(1+Inputs!$C$19)^10</f>
        <v/>
      </c>
      <c r="M51" s="6">
        <f>L51+M50/(1+Inputs!$C$19)^11</f>
        <v/>
      </c>
      <c r="N51" s="6">
        <f>M51+N50/(1+Inputs!$C$19)^12</f>
        <v/>
      </c>
      <c r="O51" s="6">
        <f>N51+O50/(1+Inputs!$C$19)^13</f>
        <v/>
      </c>
      <c r="P51" s="6">
        <f>O51+P50/(1+Inputs!$C$19)^14</f>
        <v/>
      </c>
      <c r="Q51" s="6">
        <f>P51+Q50/(1+Inputs!$C$19)^15</f>
        <v/>
      </c>
      <c r="R51" s="6">
        <f>Q51+R50/(1+Inputs!$C$19)^16</f>
        <v/>
      </c>
      <c r="S51" s="6">
        <f>R51+S50/(1+Inputs!$C$19)^17</f>
        <v/>
      </c>
      <c r="T51" s="6">
        <f>S51+T50/(1+Inputs!$C$19)^18</f>
        <v/>
      </c>
      <c r="U51" s="6">
        <f>T51+U50/(1+Inputs!$C$19)^19</f>
        <v/>
      </c>
      <c r="V51" s="6">
        <f>U51+V50/(1+Inputs!$C$19)^20</f>
        <v/>
      </c>
      <c r="W51" s="6">
        <f>V51+W50/(1+Inputs!$C$19)^21</f>
        <v/>
      </c>
      <c r="X51" s="6">
        <f>W51+X50/(1+Inputs!$C$19)^22</f>
        <v/>
      </c>
      <c r="Y51" s="6">
        <f>X51+Y50/(1+Inputs!$C$19)^23</f>
        <v/>
      </c>
      <c r="Z51" s="6">
        <f>Y51+Z50/(1+Inputs!$C$19)^24</f>
        <v/>
      </c>
      <c r="AA51" s="6">
        <f>Z51+AA50/(1+Inputs!$C$19)^25</f>
        <v/>
      </c>
    </row>
    <row r="52">
      <c r="A52" s="11" t="inlineStr">
        <is>
          <t>Simple Payback (yr)</t>
        </is>
      </c>
      <c r="B52" s="12">
        <f>IF((C47+C48)&gt;0,B41/(C47+C48),"N/A")</f>
        <v/>
      </c>
    </row>
    <row r="53">
      <c r="A53" s="11" t="inlineStr">
        <is>
          <t>NPV Breakeven Year</t>
        </is>
      </c>
      <c r="B53" s="5" t="inlineStr">
        <is>
          <t>See Cumulative NPV row 51 for first year ≥ 0</t>
        </is>
      </c>
    </row>
    <row r="54"/>
    <row r="55"/>
    <row r="56">
      <c r="A56" s="8" t="inlineStr">
        <is>
          <t>PV+Storage — No Incentives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</row>
    <row r="57">
      <c r="A57" s="2" t="inlineStr">
        <is>
          <t>Year</t>
        </is>
      </c>
      <c r="B57" s="3" t="n">
        <v>0</v>
      </c>
      <c r="C57" s="3" t="n">
        <v>1</v>
      </c>
      <c r="D57" s="3" t="n">
        <v>2</v>
      </c>
      <c r="E57" s="3" t="n">
        <v>3</v>
      </c>
      <c r="F57" s="3" t="n">
        <v>4</v>
      </c>
      <c r="G57" s="3" t="n">
        <v>5</v>
      </c>
      <c r="H57" s="3" t="n">
        <v>6</v>
      </c>
      <c r="I57" s="3" t="n">
        <v>7</v>
      </c>
      <c r="J57" s="3" t="n">
        <v>8</v>
      </c>
      <c r="K57" s="3" t="n">
        <v>9</v>
      </c>
      <c r="L57" s="3" t="n">
        <v>10</v>
      </c>
      <c r="M57" s="3" t="n">
        <v>11</v>
      </c>
      <c r="N57" s="3" t="n">
        <v>12</v>
      </c>
      <c r="O57" s="3" t="n">
        <v>13</v>
      </c>
      <c r="P57" s="3" t="n">
        <v>14</v>
      </c>
      <c r="Q57" s="3" t="n">
        <v>15</v>
      </c>
      <c r="R57" s="3" t="n">
        <v>16</v>
      </c>
      <c r="S57" s="3" t="n">
        <v>17</v>
      </c>
      <c r="T57" s="3" t="n">
        <v>18</v>
      </c>
      <c r="U57" s="3" t="n">
        <v>19</v>
      </c>
      <c r="V57" s="3" t="n">
        <v>20</v>
      </c>
      <c r="W57" s="3" t="n">
        <v>21</v>
      </c>
      <c r="X57" s="3" t="n">
        <v>22</v>
      </c>
      <c r="Y57" s="3" t="n">
        <v>23</v>
      </c>
      <c r="Z57" s="3" t="n">
        <v>24</v>
      </c>
      <c r="AA57" s="3" t="n">
        <v>25</v>
      </c>
    </row>
    <row r="58">
      <c r="A58" s="3" t="inlineStr">
        <is>
          <t>Debt Balance ($)</t>
        </is>
      </c>
      <c r="B58" s="6">
        <f>Inputs!C14</f>
        <v/>
      </c>
      <c r="C58" s="6">
        <f>B58-C60</f>
        <v/>
      </c>
      <c r="D58" s="6">
        <f>C58-D60</f>
        <v/>
      </c>
      <c r="E58" s="6">
        <f>D58-E60</f>
        <v/>
      </c>
      <c r="F58" s="6">
        <f>E58-F60</f>
        <v/>
      </c>
      <c r="G58" s="6">
        <f>F58-G60</f>
        <v/>
      </c>
      <c r="H58" s="6">
        <f>G58-H60</f>
        <v/>
      </c>
      <c r="I58" s="6">
        <f>H58-I60</f>
        <v/>
      </c>
      <c r="J58" s="6">
        <f>I58-J60</f>
        <v/>
      </c>
      <c r="K58" s="6">
        <f>J58-K60</f>
        <v/>
      </c>
      <c r="L58" s="6">
        <f>K58-L60</f>
        <v/>
      </c>
      <c r="M58" s="6">
        <f>L58-M60</f>
        <v/>
      </c>
      <c r="N58" s="6">
        <f>M58-N60</f>
        <v/>
      </c>
      <c r="O58" s="6">
        <f>N58-O60</f>
        <v/>
      </c>
      <c r="P58" s="6">
        <f>O58-P60</f>
        <v/>
      </c>
      <c r="Q58" s="6">
        <f>P58-Q60</f>
        <v/>
      </c>
      <c r="R58" s="6">
        <f>Q58-R60</f>
        <v/>
      </c>
      <c r="S58" s="6">
        <f>R58-S60</f>
        <v/>
      </c>
      <c r="T58" s="6">
        <f>S58-T60</f>
        <v/>
      </c>
      <c r="U58" s="6">
        <f>T58-U60</f>
        <v/>
      </c>
      <c r="V58" s="6">
        <f>U58-V60</f>
        <v/>
      </c>
      <c r="W58" s="6">
        <f>V58-W60</f>
        <v/>
      </c>
      <c r="X58" s="6">
        <f>W58-X60</f>
        <v/>
      </c>
      <c r="Y58" s="6">
        <f>X58-Y60</f>
        <v/>
      </c>
      <c r="Z58" s="6">
        <f>Y58-Z60</f>
        <v/>
      </c>
      <c r="AA58" s="6">
        <f>Z58-AA60</f>
        <v/>
      </c>
    </row>
    <row r="59">
      <c r="A59" s="3" t="inlineStr">
        <is>
          <t>Interest Payment ($)</t>
        </is>
      </c>
      <c r="B59" s="6" t="n">
        <v>0</v>
      </c>
      <c r="C59" s="6">
        <f>B58*Inputs!$C$17</f>
        <v/>
      </c>
      <c r="D59" s="6">
        <f>C58*Inputs!$C$17</f>
        <v/>
      </c>
      <c r="E59" s="6">
        <f>D58*Inputs!$C$17</f>
        <v/>
      </c>
      <c r="F59" s="6">
        <f>E58*Inputs!$C$17</f>
        <v/>
      </c>
      <c r="G59" s="6">
        <f>F58*Inputs!$C$17</f>
        <v/>
      </c>
      <c r="H59" s="6">
        <f>G58*Inputs!$C$17</f>
        <v/>
      </c>
      <c r="I59" s="6">
        <f>H58*Inputs!$C$17</f>
        <v/>
      </c>
      <c r="J59" s="6">
        <f>I58*Inputs!$C$17</f>
        <v/>
      </c>
      <c r="K59" s="6">
        <f>J58*Inputs!$C$17</f>
        <v/>
      </c>
      <c r="L59" s="6">
        <f>K58*Inputs!$C$17</f>
        <v/>
      </c>
      <c r="M59" s="6">
        <f>L58*Inputs!$C$17</f>
        <v/>
      </c>
      <c r="N59" s="6">
        <f>M58*Inputs!$C$17</f>
        <v/>
      </c>
      <c r="O59" s="6">
        <f>N58*Inputs!$C$17</f>
        <v/>
      </c>
      <c r="P59" s="6">
        <f>O58*Inputs!$C$17</f>
        <v/>
      </c>
      <c r="Q59" s="6">
        <f>P58*Inputs!$C$17</f>
        <v/>
      </c>
      <c r="R59" s="6">
        <f>Q58*Inputs!$C$17</f>
        <v/>
      </c>
      <c r="S59" s="6">
        <f>R58*Inputs!$C$17</f>
        <v/>
      </c>
      <c r="T59" s="6">
        <f>S58*Inputs!$C$17</f>
        <v/>
      </c>
      <c r="U59" s="6">
        <f>T58*Inputs!$C$17</f>
        <v/>
      </c>
      <c r="V59" s="6">
        <f>U58*Inputs!$C$17</f>
        <v/>
      </c>
      <c r="W59" s="6">
        <f>V58*Inputs!$C$17</f>
        <v/>
      </c>
      <c r="X59" s="6">
        <f>W58*Inputs!$C$17</f>
        <v/>
      </c>
      <c r="Y59" s="6">
        <f>X58*Inputs!$C$17</f>
        <v/>
      </c>
      <c r="Z59" s="6">
        <f>Y58*Inputs!$C$17</f>
        <v/>
      </c>
      <c r="AA59" s="6">
        <f>Z58*Inputs!$C$17</f>
        <v/>
      </c>
    </row>
    <row r="60">
      <c r="A60" s="3" t="inlineStr">
        <is>
          <t>Principal Payment ($)</t>
        </is>
      </c>
      <c r="B60" s="6" t="n">
        <v>0</v>
      </c>
      <c r="C60" s="6">
        <f>-PMT(Inputs!$C$17,Inputs!$C$18,$B$58)-C59</f>
        <v/>
      </c>
      <c r="D60" s="6">
        <f>-PMT(Inputs!$C$17,Inputs!$C$18,$B$58)-D59</f>
        <v/>
      </c>
      <c r="E60" s="6">
        <f>-PMT(Inputs!$C$17,Inputs!$C$18,$B$58)-E59</f>
        <v/>
      </c>
      <c r="F60" s="6">
        <f>-PMT(Inputs!$C$17,Inputs!$C$18,$B$58)-F59</f>
        <v/>
      </c>
      <c r="G60" s="6">
        <f>-PMT(Inputs!$C$17,Inputs!$C$18,$B$58)-G59</f>
        <v/>
      </c>
      <c r="H60" s="6">
        <f>-PMT(Inputs!$C$17,Inputs!$C$18,$B$58)-H59</f>
        <v/>
      </c>
      <c r="I60" s="6">
        <f>-PMT(Inputs!$C$17,Inputs!$C$18,$B$58)-I59</f>
        <v/>
      </c>
      <c r="J60" s="6">
        <f>-PMT(Inputs!$C$17,Inputs!$C$18,$B$58)-J59</f>
        <v/>
      </c>
      <c r="K60" s="6">
        <f>-PMT(Inputs!$C$17,Inputs!$C$18,$B$58)-K59</f>
        <v/>
      </c>
      <c r="L60" s="6">
        <f>-PMT(Inputs!$C$17,Inputs!$C$18,$B$58)-L59</f>
        <v/>
      </c>
      <c r="M60" s="6">
        <f>-PMT(Inputs!$C$17,Inputs!$C$18,$B$58)-M59</f>
        <v/>
      </c>
      <c r="N60" s="6">
        <f>-PMT(Inputs!$C$17,Inputs!$C$18,$B$58)-N59</f>
        <v/>
      </c>
      <c r="O60" s="6">
        <f>-PMT(Inputs!$C$17,Inputs!$C$18,$B$58)-O59</f>
        <v/>
      </c>
      <c r="P60" s="6">
        <f>-PMT(Inputs!$C$17,Inputs!$C$18,$B$58)-P59</f>
        <v/>
      </c>
      <c r="Q60" s="6">
        <f>-PMT(Inputs!$C$17,Inputs!$C$18,$B$58)-Q59</f>
        <v/>
      </c>
      <c r="R60" s="6">
        <f>-PMT(Inputs!$C$17,Inputs!$C$18,$B$58)-R59</f>
        <v/>
      </c>
      <c r="S60" s="6">
        <f>-PMT(Inputs!$C$17,Inputs!$C$18,$B$58)-S59</f>
        <v/>
      </c>
      <c r="T60" s="6">
        <f>-PMT(Inputs!$C$17,Inputs!$C$18,$B$58)-T59</f>
        <v/>
      </c>
      <c r="U60" s="6">
        <f>-PMT(Inputs!$C$17,Inputs!$C$18,$B$58)-U59</f>
        <v/>
      </c>
      <c r="V60" s="6">
        <f>-PMT(Inputs!$C$17,Inputs!$C$18,$B$58)-V59</f>
        <v/>
      </c>
      <c r="W60" s="6">
        <f>-PMT(Inputs!$C$17,Inputs!$C$18,$B$58)-W59</f>
        <v/>
      </c>
      <c r="X60" s="6">
        <f>-PMT(Inputs!$C$17,Inputs!$C$18,$B$58)-X59</f>
        <v/>
      </c>
      <c r="Y60" s="6">
        <f>-PMT(Inputs!$C$17,Inputs!$C$18,$B$58)-Y59</f>
        <v/>
      </c>
      <c r="Z60" s="6">
        <f>-PMT(Inputs!$C$17,Inputs!$C$18,$B$58)-Z59</f>
        <v/>
      </c>
      <c r="AA60" s="6">
        <f>-PMT(Inputs!$C$17,Inputs!$C$18,$B$58)-AA59</f>
        <v/>
      </c>
    </row>
    <row r="61">
      <c r="A61" s="3" t="inlineStr">
        <is>
          <t>Total P&amp;I Payment ($)</t>
        </is>
      </c>
      <c r="B61" s="6" t="n">
        <v>0</v>
      </c>
      <c r="C61" s="6">
        <f>C59+C60</f>
        <v/>
      </c>
      <c r="D61" s="6">
        <f>D59+D60</f>
        <v/>
      </c>
      <c r="E61" s="6">
        <f>E59+E60</f>
        <v/>
      </c>
      <c r="F61" s="6">
        <f>F59+F60</f>
        <v/>
      </c>
      <c r="G61" s="6">
        <f>G59+G60</f>
        <v/>
      </c>
      <c r="H61" s="6">
        <f>H59+H60</f>
        <v/>
      </c>
      <c r="I61" s="6">
        <f>I59+I60</f>
        <v/>
      </c>
      <c r="J61" s="6">
        <f>J59+J60</f>
        <v/>
      </c>
      <c r="K61" s="6">
        <f>K59+K60</f>
        <v/>
      </c>
      <c r="L61" s="6">
        <f>L59+L60</f>
        <v/>
      </c>
      <c r="M61" s="6">
        <f>M59+M60</f>
        <v/>
      </c>
      <c r="N61" s="6">
        <f>N59+N60</f>
        <v/>
      </c>
      <c r="O61" s="6">
        <f>O59+O60</f>
        <v/>
      </c>
      <c r="P61" s="6">
        <f>P59+P60</f>
        <v/>
      </c>
      <c r="Q61" s="6">
        <f>Q59+Q60</f>
        <v/>
      </c>
      <c r="R61" s="6">
        <f>R59+R60</f>
        <v/>
      </c>
      <c r="S61" s="6">
        <f>S59+S60</f>
        <v/>
      </c>
      <c r="T61" s="6">
        <f>T59+T60</f>
        <v/>
      </c>
      <c r="U61" s="6">
        <f>U59+U60</f>
        <v/>
      </c>
      <c r="V61" s="6">
        <f>V59+V60</f>
        <v/>
      </c>
      <c r="W61" s="6">
        <f>W59+W60</f>
        <v/>
      </c>
      <c r="X61" s="6">
        <f>X59+X60</f>
        <v/>
      </c>
      <c r="Y61" s="6">
        <f>Y59+Y60</f>
        <v/>
      </c>
      <c r="Z61" s="6">
        <f>Z59+Z60</f>
        <v/>
      </c>
      <c r="AA61" s="6">
        <f>AA59+AA60</f>
        <v/>
      </c>
    </row>
    <row r="62">
      <c r="A62" s="3" t="inlineStr">
        <is>
          <t>Bill w/o System ($)</t>
        </is>
      </c>
      <c r="B62" s="6" t="n">
        <v>0</v>
      </c>
      <c r="C62" s="10">
        <f>Inputs!$C$30</f>
        <v/>
      </c>
      <c r="D62" s="6">
        <f>C62*(1+Inputs!$C$20)</f>
        <v/>
      </c>
      <c r="E62" s="6">
        <f>D62*(1+Inputs!$C$20)</f>
        <v/>
      </c>
      <c r="F62" s="6">
        <f>E62*(1+Inputs!$C$20)</f>
        <v/>
      </c>
      <c r="G62" s="6">
        <f>F62*(1+Inputs!$C$20)</f>
        <v/>
      </c>
      <c r="H62" s="6">
        <f>G62*(1+Inputs!$C$20)</f>
        <v/>
      </c>
      <c r="I62" s="6">
        <f>H62*(1+Inputs!$C$20)</f>
        <v/>
      </c>
      <c r="J62" s="6">
        <f>I62*(1+Inputs!$C$20)</f>
        <v/>
      </c>
      <c r="K62" s="6">
        <f>J62*(1+Inputs!$C$20)</f>
        <v/>
      </c>
      <c r="L62" s="6">
        <f>K62*(1+Inputs!$C$20)</f>
        <v/>
      </c>
      <c r="M62" s="6">
        <f>L62*(1+Inputs!$C$20)</f>
        <v/>
      </c>
      <c r="N62" s="6">
        <f>M62*(1+Inputs!$C$20)</f>
        <v/>
      </c>
      <c r="O62" s="6">
        <f>N62*(1+Inputs!$C$20)</f>
        <v/>
      </c>
      <c r="P62" s="6">
        <f>O62*(1+Inputs!$C$20)</f>
        <v/>
      </c>
      <c r="Q62" s="6">
        <f>P62*(1+Inputs!$C$20)</f>
        <v/>
      </c>
      <c r="R62" s="6">
        <f>Q62*(1+Inputs!$C$20)</f>
        <v/>
      </c>
      <c r="S62" s="6">
        <f>R62*(1+Inputs!$C$20)</f>
        <v/>
      </c>
      <c r="T62" s="6">
        <f>S62*(1+Inputs!$C$20)</f>
        <v/>
      </c>
      <c r="U62" s="6">
        <f>T62*(1+Inputs!$C$20)</f>
        <v/>
      </c>
      <c r="V62" s="6">
        <f>U62*(1+Inputs!$C$20)</f>
        <v/>
      </c>
      <c r="W62" s="6">
        <f>V62*(1+Inputs!$C$20)</f>
        <v/>
      </c>
      <c r="X62" s="6">
        <f>W62*(1+Inputs!$C$20)</f>
        <v/>
      </c>
      <c r="Y62" s="6">
        <f>X62*(1+Inputs!$C$20)</f>
        <v/>
      </c>
      <c r="Z62" s="6">
        <f>Y62*(1+Inputs!$C$20)</f>
        <v/>
      </c>
      <c r="AA62" s="6">
        <f>Z62*(1+Inputs!$C$20)</f>
        <v/>
      </c>
    </row>
    <row r="63">
      <c r="A63" s="3" t="inlineStr">
        <is>
          <t>Bill w/ System ($)</t>
        </is>
      </c>
      <c r="B63" s="6" t="n">
        <v>0</v>
      </c>
      <c r="C63" s="10">
        <f>C62-Inputs!$D$43</f>
        <v/>
      </c>
      <c r="D63" s="6">
        <f>D62-Inputs!$D$43*(1+Inputs!$C$20)^(2-1)</f>
        <v/>
      </c>
      <c r="E63" s="6">
        <f>E62-Inputs!$D$43*(1+Inputs!$C$20)^(3-1)</f>
        <v/>
      </c>
      <c r="F63" s="6">
        <f>F62-Inputs!$D$43*(1+Inputs!$C$20)^(4-1)</f>
        <v/>
      </c>
      <c r="G63" s="6">
        <f>G62-Inputs!$D$43*(1+Inputs!$C$20)^(5-1)</f>
        <v/>
      </c>
      <c r="H63" s="6">
        <f>H62-Inputs!$D$43*(1+Inputs!$C$20)^(6-1)</f>
        <v/>
      </c>
      <c r="I63" s="6">
        <f>I62-Inputs!$D$43*(1+Inputs!$C$20)^(7-1)</f>
        <v/>
      </c>
      <c r="J63" s="6">
        <f>J62-Inputs!$D$43*(1+Inputs!$C$20)^(8-1)</f>
        <v/>
      </c>
      <c r="K63" s="6">
        <f>K62-Inputs!$D$43*(1+Inputs!$C$20)^(9-1)</f>
        <v/>
      </c>
      <c r="L63" s="6">
        <f>L62-Inputs!$D$43*(1+Inputs!$C$20)^(10-1)</f>
        <v/>
      </c>
      <c r="M63" s="6">
        <f>M62-Inputs!$D$43*(1+Inputs!$C$20)^(11-1)</f>
        <v/>
      </c>
      <c r="N63" s="6">
        <f>N62-Inputs!$D$43*(1+Inputs!$C$20)^(12-1)</f>
        <v/>
      </c>
      <c r="O63" s="6">
        <f>O62-Inputs!$D$43*(1+Inputs!$C$20)^(13-1)</f>
        <v/>
      </c>
      <c r="P63" s="6">
        <f>P62-Inputs!$D$43*(1+Inputs!$C$20)^(14-1)</f>
        <v/>
      </c>
      <c r="Q63" s="6">
        <f>Q62-Inputs!$D$43*(1+Inputs!$C$20)^(15-1)</f>
        <v/>
      </c>
      <c r="R63" s="6">
        <f>R62-Inputs!$D$43*(1+Inputs!$C$20)^(16-1)</f>
        <v/>
      </c>
      <c r="S63" s="6">
        <f>S62-Inputs!$D$43*(1+Inputs!$C$20)^(17-1)</f>
        <v/>
      </c>
      <c r="T63" s="6">
        <f>T62-Inputs!$D$43*(1+Inputs!$C$20)^(18-1)</f>
        <v/>
      </c>
      <c r="U63" s="6">
        <f>U62-Inputs!$D$43*(1+Inputs!$C$20)^(19-1)</f>
        <v/>
      </c>
      <c r="V63" s="6">
        <f>V62-Inputs!$D$43*(1+Inputs!$C$20)^(20-1)</f>
        <v/>
      </c>
      <c r="W63" s="6">
        <f>W62-Inputs!$D$43*(1+Inputs!$C$20)^(21-1)</f>
        <v/>
      </c>
      <c r="X63" s="6">
        <f>X62-Inputs!$D$43*(1+Inputs!$C$20)^(22-1)</f>
        <v/>
      </c>
      <c r="Y63" s="6">
        <f>Y62-Inputs!$D$43*(1+Inputs!$C$20)^(23-1)</f>
        <v/>
      </c>
      <c r="Z63" s="6">
        <f>Z62-Inputs!$D$43*(1+Inputs!$C$20)^(24-1)</f>
        <v/>
      </c>
      <c r="AA63" s="6">
        <f>AA62-Inputs!$D$43*(1+Inputs!$C$20)^(25-1)</f>
        <v/>
      </c>
    </row>
    <row r="64">
      <c r="A64" s="3" t="inlineStr">
        <is>
          <t>Bill Savings ($)</t>
        </is>
      </c>
      <c r="B64" s="6" t="n">
        <v>0</v>
      </c>
      <c r="C64" s="6">
        <f>C62-C63</f>
        <v/>
      </c>
      <c r="D64" s="6">
        <f>D62-D63</f>
        <v/>
      </c>
      <c r="E64" s="6">
        <f>E62-E63</f>
        <v/>
      </c>
      <c r="F64" s="6">
        <f>F62-F63</f>
        <v/>
      </c>
      <c r="G64" s="6">
        <f>G62-G63</f>
        <v/>
      </c>
      <c r="H64" s="6">
        <f>H62-H63</f>
        <v/>
      </c>
      <c r="I64" s="6">
        <f>I62-I63</f>
        <v/>
      </c>
      <c r="J64" s="6">
        <f>J62-J63</f>
        <v/>
      </c>
      <c r="K64" s="6">
        <f>K62-K63</f>
        <v/>
      </c>
      <c r="L64" s="6">
        <f>L62-L63</f>
        <v/>
      </c>
      <c r="M64" s="6">
        <f>M62-M63</f>
        <v/>
      </c>
      <c r="N64" s="6">
        <f>N62-N63</f>
        <v/>
      </c>
      <c r="O64" s="6">
        <f>O62-O63</f>
        <v/>
      </c>
      <c r="P64" s="6">
        <f>P62-P63</f>
        <v/>
      </c>
      <c r="Q64" s="6">
        <f>Q62-Q63</f>
        <v/>
      </c>
      <c r="R64" s="6">
        <f>R62-R63</f>
        <v/>
      </c>
      <c r="S64" s="6">
        <f>S62-S63</f>
        <v/>
      </c>
      <c r="T64" s="6">
        <f>T62-T63</f>
        <v/>
      </c>
      <c r="U64" s="6">
        <f>U62-U63</f>
        <v/>
      </c>
      <c r="V64" s="6">
        <f>V62-V63</f>
        <v/>
      </c>
      <c r="W64" s="6">
        <f>W62-W63</f>
        <v/>
      </c>
      <c r="X64" s="6">
        <f>X62-X63</f>
        <v/>
      </c>
      <c r="Y64" s="6">
        <f>Y62-Y63</f>
        <v/>
      </c>
      <c r="Z64" s="6">
        <f>Z62-Z63</f>
        <v/>
      </c>
      <c r="AA64" s="6">
        <f>AA62-AA63</f>
        <v/>
      </c>
    </row>
    <row r="65">
      <c r="A65" s="3" t="inlineStr">
        <is>
          <t>Incentive Annual ($)</t>
        </is>
      </c>
      <c r="B65" s="6" t="n">
        <v>0</v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</row>
    <row r="66">
      <c r="A66" s="3" t="inlineStr">
        <is>
          <t>Total Savings ($)</t>
        </is>
      </c>
      <c r="B66" s="6" t="n">
        <v>0</v>
      </c>
      <c r="C66" s="6">
        <f>C64+C65</f>
        <v/>
      </c>
      <c r="D66" s="6">
        <f>D64+D65</f>
        <v/>
      </c>
      <c r="E66" s="6">
        <f>E64+E65</f>
        <v/>
      </c>
      <c r="F66" s="6">
        <f>F64+F65</f>
        <v/>
      </c>
      <c r="G66" s="6">
        <f>G64+G65</f>
        <v/>
      </c>
      <c r="H66" s="6">
        <f>H64+H65</f>
        <v/>
      </c>
      <c r="I66" s="6">
        <f>I64+I65</f>
        <v/>
      </c>
      <c r="J66" s="6">
        <f>J64+J65</f>
        <v/>
      </c>
      <c r="K66" s="6">
        <f>K64+K65</f>
        <v/>
      </c>
      <c r="L66" s="6">
        <f>L64+L65</f>
        <v/>
      </c>
      <c r="M66" s="6">
        <f>M64+M65</f>
        <v/>
      </c>
      <c r="N66" s="6">
        <f>N64+N65</f>
        <v/>
      </c>
      <c r="O66" s="6">
        <f>O64+O65</f>
        <v/>
      </c>
      <c r="P66" s="6">
        <f>P64+P65</f>
        <v/>
      </c>
      <c r="Q66" s="6">
        <f>Q64+Q65</f>
        <v/>
      </c>
      <c r="R66" s="6">
        <f>R64+R65</f>
        <v/>
      </c>
      <c r="S66" s="6">
        <f>S64+S65</f>
        <v/>
      </c>
      <c r="T66" s="6">
        <f>T64+T65</f>
        <v/>
      </c>
      <c r="U66" s="6">
        <f>U64+U65</f>
        <v/>
      </c>
      <c r="V66" s="6">
        <f>V64+V65</f>
        <v/>
      </c>
      <c r="W66" s="6">
        <f>W64+W65</f>
        <v/>
      </c>
      <c r="X66" s="6">
        <f>X64+X65</f>
        <v/>
      </c>
      <c r="Y66" s="6">
        <f>Y64+Y65</f>
        <v/>
      </c>
      <c r="Z66" s="6">
        <f>Z64+Z65</f>
        <v/>
      </c>
      <c r="AA66" s="6">
        <f>AA64+AA65</f>
        <v/>
      </c>
    </row>
    <row r="67">
      <c r="A67" s="3" t="inlineStr">
        <is>
          <t>Net Savings ($)</t>
        </is>
      </c>
      <c r="B67" s="6" t="n">
        <v>0</v>
      </c>
      <c r="C67" s="6">
        <f>C66-C61</f>
        <v/>
      </c>
      <c r="D67" s="6">
        <f>D66-D61</f>
        <v/>
      </c>
      <c r="E67" s="6">
        <f>E66-E61</f>
        <v/>
      </c>
      <c r="F67" s="6">
        <f>F66-F61</f>
        <v/>
      </c>
      <c r="G67" s="6">
        <f>G66-G61</f>
        <v/>
      </c>
      <c r="H67" s="6">
        <f>H66-H61</f>
        <v/>
      </c>
      <c r="I67" s="6">
        <f>I66-I61</f>
        <v/>
      </c>
      <c r="J67" s="6">
        <f>J66-J61</f>
        <v/>
      </c>
      <c r="K67" s="6">
        <f>K66-K61</f>
        <v/>
      </c>
      <c r="L67" s="6">
        <f>L66-L61</f>
        <v/>
      </c>
      <c r="M67" s="6">
        <f>M66-M61</f>
        <v/>
      </c>
      <c r="N67" s="6">
        <f>N66-N61</f>
        <v/>
      </c>
      <c r="O67" s="6">
        <f>O66-O61</f>
        <v/>
      </c>
      <c r="P67" s="6">
        <f>P66-P61</f>
        <v/>
      </c>
      <c r="Q67" s="6">
        <f>Q66-Q61</f>
        <v/>
      </c>
      <c r="R67" s="6">
        <f>R66-R61</f>
        <v/>
      </c>
      <c r="S67" s="6">
        <f>S66-S61</f>
        <v/>
      </c>
      <c r="T67" s="6">
        <f>T66-T61</f>
        <v/>
      </c>
      <c r="U67" s="6">
        <f>U66-U61</f>
        <v/>
      </c>
      <c r="V67" s="6">
        <f>V66-V61</f>
        <v/>
      </c>
      <c r="W67" s="6">
        <f>W66-W61</f>
        <v/>
      </c>
      <c r="X67" s="6">
        <f>X66-X61</f>
        <v/>
      </c>
      <c r="Y67" s="6">
        <f>Y66-Y61</f>
        <v/>
      </c>
      <c r="Z67" s="6">
        <f>Z66-Z61</f>
        <v/>
      </c>
      <c r="AA67" s="6">
        <f>AA66-AA61</f>
        <v/>
      </c>
    </row>
    <row r="68">
      <c r="A68" s="3" t="inlineStr">
        <is>
          <t>Cumulative NPV ($)</t>
        </is>
      </c>
      <c r="B68" s="6" t="n">
        <v>0</v>
      </c>
      <c r="C68" s="6">
        <f>C67/(1+Inputs!$C$19)^1</f>
        <v/>
      </c>
      <c r="D68" s="6">
        <f>C68+D67/(1+Inputs!$C$19)^2</f>
        <v/>
      </c>
      <c r="E68" s="6">
        <f>D68+E67/(1+Inputs!$C$19)^3</f>
        <v/>
      </c>
      <c r="F68" s="6">
        <f>E68+F67/(1+Inputs!$C$19)^4</f>
        <v/>
      </c>
      <c r="G68" s="6">
        <f>F68+G67/(1+Inputs!$C$19)^5</f>
        <v/>
      </c>
      <c r="H68" s="6">
        <f>G68+H67/(1+Inputs!$C$19)^6</f>
        <v/>
      </c>
      <c r="I68" s="6">
        <f>H68+I67/(1+Inputs!$C$19)^7</f>
        <v/>
      </c>
      <c r="J68" s="6">
        <f>I68+J67/(1+Inputs!$C$19)^8</f>
        <v/>
      </c>
      <c r="K68" s="6">
        <f>J68+K67/(1+Inputs!$C$19)^9</f>
        <v/>
      </c>
      <c r="L68" s="6">
        <f>K68+L67/(1+Inputs!$C$19)^10</f>
        <v/>
      </c>
      <c r="M68" s="6">
        <f>L68+M67/(1+Inputs!$C$19)^11</f>
        <v/>
      </c>
      <c r="N68" s="6">
        <f>M68+N67/(1+Inputs!$C$19)^12</f>
        <v/>
      </c>
      <c r="O68" s="6">
        <f>N68+O67/(1+Inputs!$C$19)^13</f>
        <v/>
      </c>
      <c r="P68" s="6">
        <f>O68+P67/(1+Inputs!$C$19)^14</f>
        <v/>
      </c>
      <c r="Q68" s="6">
        <f>P68+Q67/(1+Inputs!$C$19)^15</f>
        <v/>
      </c>
      <c r="R68" s="6">
        <f>Q68+R67/(1+Inputs!$C$19)^16</f>
        <v/>
      </c>
      <c r="S68" s="6">
        <f>R68+S67/(1+Inputs!$C$19)^17</f>
        <v/>
      </c>
      <c r="T68" s="6">
        <f>S68+T67/(1+Inputs!$C$19)^18</f>
        <v/>
      </c>
      <c r="U68" s="6">
        <f>T68+U67/(1+Inputs!$C$19)^19</f>
        <v/>
      </c>
      <c r="V68" s="6">
        <f>U68+V67/(1+Inputs!$C$19)^20</f>
        <v/>
      </c>
      <c r="W68" s="6">
        <f>V68+W67/(1+Inputs!$C$19)^21</f>
        <v/>
      </c>
      <c r="X68" s="6">
        <f>W68+X67/(1+Inputs!$C$19)^22</f>
        <v/>
      </c>
      <c r="Y68" s="6">
        <f>X68+Y67/(1+Inputs!$C$19)^23</f>
        <v/>
      </c>
      <c r="Z68" s="6">
        <f>Y68+Z67/(1+Inputs!$C$19)^24</f>
        <v/>
      </c>
      <c r="AA68" s="6">
        <f>Z68+AA67/(1+Inputs!$C$19)^25</f>
        <v/>
      </c>
    </row>
    <row r="69">
      <c r="A69" s="11" t="inlineStr">
        <is>
          <t>Simple Payback (yr)</t>
        </is>
      </c>
      <c r="B69" s="12">
        <f>IF((C64+C65)&gt;0,B58/(C64+C65),"N/A")</f>
        <v/>
      </c>
    </row>
    <row r="70">
      <c r="A70" s="11" t="inlineStr">
        <is>
          <t>NPV Breakeven Year</t>
        </is>
      </c>
      <c r="B70" s="5" t="inlineStr">
        <is>
          <t>See Cumulative NPV row 68 for first year ≥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7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/>
    <row r="2"/>
    <row r="3"/>
    <row r="4"/>
    <row r="5">
      <c r="A5" s="8" t="inlineStr">
        <is>
          <t>Solar Only — All Incentives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</row>
    <row r="6">
      <c r="A6" s="2" t="inlineStr">
        <is>
          <t>Year</t>
        </is>
      </c>
      <c r="B6" s="3" t="n">
        <v>0</v>
      </c>
      <c r="C6" s="3" t="n">
        <v>1</v>
      </c>
      <c r="D6" s="3" t="n">
        <v>2</v>
      </c>
      <c r="E6" s="3" t="n">
        <v>3</v>
      </c>
      <c r="F6" s="3" t="n">
        <v>4</v>
      </c>
      <c r="G6" s="3" t="n">
        <v>5</v>
      </c>
      <c r="H6" s="3" t="n">
        <v>6</v>
      </c>
      <c r="I6" s="3" t="n">
        <v>7</v>
      </c>
      <c r="J6" s="3" t="n">
        <v>8</v>
      </c>
      <c r="K6" s="3" t="n">
        <v>9</v>
      </c>
      <c r="L6" s="3" t="n">
        <v>10</v>
      </c>
      <c r="M6" s="3" t="n">
        <v>11</v>
      </c>
      <c r="N6" s="3" t="n">
        <v>12</v>
      </c>
      <c r="O6" s="3" t="n">
        <v>13</v>
      </c>
      <c r="P6" s="3" t="n">
        <v>14</v>
      </c>
      <c r="Q6" s="3" t="n">
        <v>15</v>
      </c>
      <c r="R6" s="3" t="n">
        <v>16</v>
      </c>
      <c r="S6" s="3" t="n">
        <v>17</v>
      </c>
      <c r="T6" s="3" t="n">
        <v>18</v>
      </c>
      <c r="U6" s="3" t="n">
        <v>19</v>
      </c>
      <c r="V6" s="3" t="n">
        <v>20</v>
      </c>
      <c r="W6" s="3" t="n">
        <v>21</v>
      </c>
      <c r="X6" s="3" t="n">
        <v>22</v>
      </c>
      <c r="Y6" s="3" t="n">
        <v>23</v>
      </c>
      <c r="Z6" s="3" t="n">
        <v>24</v>
      </c>
      <c r="AA6" s="3" t="n">
        <v>25</v>
      </c>
    </row>
    <row r="7">
      <c r="A7" s="3" t="inlineStr">
        <is>
          <t>Debt Balance ($)</t>
        </is>
      </c>
      <c r="B7" s="6">
        <f>Inputs!C11-Inputs!C34</f>
        <v/>
      </c>
      <c r="C7" s="6">
        <f>B7-C9</f>
        <v/>
      </c>
      <c r="D7" s="6">
        <f>C7-D9</f>
        <v/>
      </c>
      <c r="E7" s="6">
        <f>D7-E9</f>
        <v/>
      </c>
      <c r="F7" s="6">
        <f>E7-F9</f>
        <v/>
      </c>
      <c r="G7" s="6">
        <f>F7-G9</f>
        <v/>
      </c>
      <c r="H7" s="6">
        <f>G7-H9</f>
        <v/>
      </c>
      <c r="I7" s="6">
        <f>H7-I9</f>
        <v/>
      </c>
      <c r="J7" s="6">
        <f>I7-J9</f>
        <v/>
      </c>
      <c r="K7" s="6">
        <f>J7-K9</f>
        <v/>
      </c>
      <c r="L7" s="6">
        <f>K7-L9</f>
        <v/>
      </c>
      <c r="M7" s="6">
        <f>L7-M9</f>
        <v/>
      </c>
      <c r="N7" s="6">
        <f>M7-N9</f>
        <v/>
      </c>
      <c r="O7" s="6">
        <f>N7-O9</f>
        <v/>
      </c>
      <c r="P7" s="6">
        <f>O7-P9</f>
        <v/>
      </c>
      <c r="Q7" s="6">
        <f>P7-Q9</f>
        <v/>
      </c>
      <c r="R7" s="6">
        <f>Q7-R9</f>
        <v/>
      </c>
      <c r="S7" s="6">
        <f>R7-S9</f>
        <v/>
      </c>
      <c r="T7" s="6">
        <f>S7-T9</f>
        <v/>
      </c>
      <c r="U7" s="6">
        <f>T7-U9</f>
        <v/>
      </c>
      <c r="V7" s="6">
        <f>U7-V9</f>
        <v/>
      </c>
      <c r="W7" s="6">
        <f>V7-W9</f>
        <v/>
      </c>
      <c r="X7" s="6">
        <f>W7-X9</f>
        <v/>
      </c>
      <c r="Y7" s="6">
        <f>X7-Y9</f>
        <v/>
      </c>
      <c r="Z7" s="6">
        <f>Y7-Z9</f>
        <v/>
      </c>
      <c r="AA7" s="6">
        <f>Z7-AA9</f>
        <v/>
      </c>
    </row>
    <row r="8">
      <c r="A8" s="3" t="inlineStr">
        <is>
          <t>Interest Payment ($)</t>
        </is>
      </c>
      <c r="B8" s="6" t="n">
        <v>0</v>
      </c>
      <c r="C8" s="6">
        <f>B7*Inputs!$C$17</f>
        <v/>
      </c>
      <c r="D8" s="6">
        <f>C7*Inputs!$C$17</f>
        <v/>
      </c>
      <c r="E8" s="6">
        <f>D7*Inputs!$C$17</f>
        <v/>
      </c>
      <c r="F8" s="6">
        <f>E7*Inputs!$C$17</f>
        <v/>
      </c>
      <c r="G8" s="6">
        <f>F7*Inputs!$C$17</f>
        <v/>
      </c>
      <c r="H8" s="6">
        <f>G7*Inputs!$C$17</f>
        <v/>
      </c>
      <c r="I8" s="6">
        <f>H7*Inputs!$C$17</f>
        <v/>
      </c>
      <c r="J8" s="6">
        <f>I7*Inputs!$C$17</f>
        <v/>
      </c>
      <c r="K8" s="6">
        <f>J7*Inputs!$C$17</f>
        <v/>
      </c>
      <c r="L8" s="6">
        <f>K7*Inputs!$C$17</f>
        <v/>
      </c>
      <c r="M8" s="6">
        <f>L7*Inputs!$C$17</f>
        <v/>
      </c>
      <c r="N8" s="6">
        <f>M7*Inputs!$C$17</f>
        <v/>
      </c>
      <c r="O8" s="6">
        <f>N7*Inputs!$C$17</f>
        <v/>
      </c>
      <c r="P8" s="6">
        <f>O7*Inputs!$C$17</f>
        <v/>
      </c>
      <c r="Q8" s="6">
        <f>P7*Inputs!$C$17</f>
        <v/>
      </c>
      <c r="R8" s="6">
        <f>Q7*Inputs!$C$17</f>
        <v/>
      </c>
      <c r="S8" s="6">
        <f>R7*Inputs!$C$17</f>
        <v/>
      </c>
      <c r="T8" s="6">
        <f>S7*Inputs!$C$17</f>
        <v/>
      </c>
      <c r="U8" s="6">
        <f>T7*Inputs!$C$17</f>
        <v/>
      </c>
      <c r="V8" s="6">
        <f>U7*Inputs!$C$17</f>
        <v/>
      </c>
      <c r="W8" s="6">
        <f>V7*Inputs!$C$17</f>
        <v/>
      </c>
      <c r="X8" s="6">
        <f>W7*Inputs!$C$17</f>
        <v/>
      </c>
      <c r="Y8" s="6">
        <f>X7*Inputs!$C$17</f>
        <v/>
      </c>
      <c r="Z8" s="6">
        <f>Y7*Inputs!$C$17</f>
        <v/>
      </c>
      <c r="AA8" s="6">
        <f>Z7*Inputs!$C$17</f>
        <v/>
      </c>
    </row>
    <row r="9">
      <c r="A9" s="3" t="inlineStr">
        <is>
          <t>Principal Payment ($)</t>
        </is>
      </c>
      <c r="B9" s="6" t="n">
        <v>0</v>
      </c>
      <c r="C9" s="6">
        <f>-PMT(Inputs!$C$17,Inputs!$C$18,$B$7)-C8</f>
        <v/>
      </c>
      <c r="D9" s="6">
        <f>-PMT(Inputs!$C$17,Inputs!$C$18,$B$7)-D8</f>
        <v/>
      </c>
      <c r="E9" s="6">
        <f>-PMT(Inputs!$C$17,Inputs!$C$18,$B$7)-E8</f>
        <v/>
      </c>
      <c r="F9" s="6">
        <f>-PMT(Inputs!$C$17,Inputs!$C$18,$B$7)-F8</f>
        <v/>
      </c>
      <c r="G9" s="6">
        <f>-PMT(Inputs!$C$17,Inputs!$C$18,$B$7)-G8</f>
        <v/>
      </c>
      <c r="H9" s="6">
        <f>-PMT(Inputs!$C$17,Inputs!$C$18,$B$7)-H8</f>
        <v/>
      </c>
      <c r="I9" s="6">
        <f>-PMT(Inputs!$C$17,Inputs!$C$18,$B$7)-I8</f>
        <v/>
      </c>
      <c r="J9" s="6">
        <f>-PMT(Inputs!$C$17,Inputs!$C$18,$B$7)-J8</f>
        <v/>
      </c>
      <c r="K9" s="6">
        <f>-PMT(Inputs!$C$17,Inputs!$C$18,$B$7)-K8</f>
        <v/>
      </c>
      <c r="L9" s="6">
        <f>-PMT(Inputs!$C$17,Inputs!$C$18,$B$7)-L8</f>
        <v/>
      </c>
      <c r="M9" s="6">
        <f>-PMT(Inputs!$C$17,Inputs!$C$18,$B$7)-M8</f>
        <v/>
      </c>
      <c r="N9" s="6">
        <f>-PMT(Inputs!$C$17,Inputs!$C$18,$B$7)-N8</f>
        <v/>
      </c>
      <c r="O9" s="6">
        <f>-PMT(Inputs!$C$17,Inputs!$C$18,$B$7)-O8</f>
        <v/>
      </c>
      <c r="P9" s="6">
        <f>-PMT(Inputs!$C$17,Inputs!$C$18,$B$7)-P8</f>
        <v/>
      </c>
      <c r="Q9" s="6">
        <f>-PMT(Inputs!$C$17,Inputs!$C$18,$B$7)-Q8</f>
        <v/>
      </c>
      <c r="R9" s="6">
        <f>-PMT(Inputs!$C$17,Inputs!$C$18,$B$7)-R8</f>
        <v/>
      </c>
      <c r="S9" s="6">
        <f>-PMT(Inputs!$C$17,Inputs!$C$18,$B$7)-S8</f>
        <v/>
      </c>
      <c r="T9" s="6">
        <f>-PMT(Inputs!$C$17,Inputs!$C$18,$B$7)-T8</f>
        <v/>
      </c>
      <c r="U9" s="6">
        <f>-PMT(Inputs!$C$17,Inputs!$C$18,$B$7)-U8</f>
        <v/>
      </c>
      <c r="V9" s="6">
        <f>-PMT(Inputs!$C$17,Inputs!$C$18,$B$7)-V8</f>
        <v/>
      </c>
      <c r="W9" s="6">
        <f>-PMT(Inputs!$C$17,Inputs!$C$18,$B$7)-W8</f>
        <v/>
      </c>
      <c r="X9" s="6">
        <f>-PMT(Inputs!$C$17,Inputs!$C$18,$B$7)-X8</f>
        <v/>
      </c>
      <c r="Y9" s="6">
        <f>-PMT(Inputs!$C$17,Inputs!$C$18,$B$7)-Y8</f>
        <v/>
      </c>
      <c r="Z9" s="6">
        <f>-PMT(Inputs!$C$17,Inputs!$C$18,$B$7)-Z8</f>
        <v/>
      </c>
      <c r="AA9" s="6">
        <f>-PMT(Inputs!$C$17,Inputs!$C$18,$B$7)-AA8</f>
        <v/>
      </c>
    </row>
    <row r="10">
      <c r="A10" s="3" t="inlineStr">
        <is>
          <t>Total P&amp;I Payment ($)</t>
        </is>
      </c>
      <c r="B10" s="6" t="n">
        <v>0</v>
      </c>
      <c r="C10" s="6">
        <f>C8+C9</f>
        <v/>
      </c>
      <c r="D10" s="6">
        <f>D8+D9</f>
        <v/>
      </c>
      <c r="E10" s="6">
        <f>E8+E9</f>
        <v/>
      </c>
      <c r="F10" s="6">
        <f>F8+F9</f>
        <v/>
      </c>
      <c r="G10" s="6">
        <f>G8+G9</f>
        <v/>
      </c>
      <c r="H10" s="6">
        <f>H8+H9</f>
        <v/>
      </c>
      <c r="I10" s="6">
        <f>I8+I9</f>
        <v/>
      </c>
      <c r="J10" s="6">
        <f>J8+J9</f>
        <v/>
      </c>
      <c r="K10" s="6">
        <f>K8+K9</f>
        <v/>
      </c>
      <c r="L10" s="6">
        <f>L8+L9</f>
        <v/>
      </c>
      <c r="M10" s="6">
        <f>M8+M9</f>
        <v/>
      </c>
      <c r="N10" s="6">
        <f>N8+N9</f>
        <v/>
      </c>
      <c r="O10" s="6">
        <f>O8+O9</f>
        <v/>
      </c>
      <c r="P10" s="6">
        <f>P8+P9</f>
        <v/>
      </c>
      <c r="Q10" s="6">
        <f>Q8+Q9</f>
        <v/>
      </c>
      <c r="R10" s="6">
        <f>R8+R9</f>
        <v/>
      </c>
      <c r="S10" s="6">
        <f>S8+S9</f>
        <v/>
      </c>
      <c r="T10" s="6">
        <f>T8+T9</f>
        <v/>
      </c>
      <c r="U10" s="6">
        <f>U8+U9</f>
        <v/>
      </c>
      <c r="V10" s="6">
        <f>V8+V9</f>
        <v/>
      </c>
      <c r="W10" s="6">
        <f>W8+W9</f>
        <v/>
      </c>
      <c r="X10" s="6">
        <f>X8+X9</f>
        <v/>
      </c>
      <c r="Y10" s="6">
        <f>Y8+Y9</f>
        <v/>
      </c>
      <c r="Z10" s="6">
        <f>Z8+Z9</f>
        <v/>
      </c>
      <c r="AA10" s="6">
        <f>AA8+AA9</f>
        <v/>
      </c>
    </row>
    <row r="11">
      <c r="A11" s="3" t="inlineStr">
        <is>
          <t>Bill w/o System ($)</t>
        </is>
      </c>
      <c r="B11" s="6" t="n">
        <v>0</v>
      </c>
      <c r="C11" s="10">
        <f>Inputs!$C$30</f>
        <v/>
      </c>
      <c r="D11" s="6">
        <f>C11*(1+Inputs!$C$20)</f>
        <v/>
      </c>
      <c r="E11" s="6">
        <f>D11*(1+Inputs!$C$20)</f>
        <v/>
      </c>
      <c r="F11" s="6">
        <f>E11*(1+Inputs!$C$20)</f>
        <v/>
      </c>
      <c r="G11" s="6">
        <f>F11*(1+Inputs!$C$20)</f>
        <v/>
      </c>
      <c r="H11" s="6">
        <f>G11*(1+Inputs!$C$20)</f>
        <v/>
      </c>
      <c r="I11" s="6">
        <f>H11*(1+Inputs!$C$20)</f>
        <v/>
      </c>
      <c r="J11" s="6">
        <f>I11*(1+Inputs!$C$20)</f>
        <v/>
      </c>
      <c r="K11" s="6">
        <f>J11*(1+Inputs!$C$20)</f>
        <v/>
      </c>
      <c r="L11" s="6">
        <f>K11*(1+Inputs!$C$20)</f>
        <v/>
      </c>
      <c r="M11" s="6">
        <f>L11*(1+Inputs!$C$20)</f>
        <v/>
      </c>
      <c r="N11" s="6">
        <f>M11*(1+Inputs!$C$20)</f>
        <v/>
      </c>
      <c r="O11" s="6">
        <f>N11*(1+Inputs!$C$20)</f>
        <v/>
      </c>
      <c r="P11" s="6">
        <f>O11*(1+Inputs!$C$20)</f>
        <v/>
      </c>
      <c r="Q11" s="6">
        <f>P11*(1+Inputs!$C$20)</f>
        <v/>
      </c>
      <c r="R11" s="6">
        <f>Q11*(1+Inputs!$C$20)</f>
        <v/>
      </c>
      <c r="S11" s="6">
        <f>R11*(1+Inputs!$C$20)</f>
        <v/>
      </c>
      <c r="T11" s="6">
        <f>S11*(1+Inputs!$C$20)</f>
        <v/>
      </c>
      <c r="U11" s="6">
        <f>T11*(1+Inputs!$C$20)</f>
        <v/>
      </c>
      <c r="V11" s="6">
        <f>U11*(1+Inputs!$C$20)</f>
        <v/>
      </c>
      <c r="W11" s="6">
        <f>V11*(1+Inputs!$C$20)</f>
        <v/>
      </c>
      <c r="X11" s="6">
        <f>W11*(1+Inputs!$C$20)</f>
        <v/>
      </c>
      <c r="Y11" s="6">
        <f>X11*(1+Inputs!$C$20)</f>
        <v/>
      </c>
      <c r="Z11" s="6">
        <f>Y11*(1+Inputs!$C$20)</f>
        <v/>
      </c>
      <c r="AA11" s="6">
        <f>Z11*(1+Inputs!$C$20)</f>
        <v/>
      </c>
    </row>
    <row r="12">
      <c r="A12" s="3" t="inlineStr">
        <is>
          <t>Bill w/ System ($)</t>
        </is>
      </c>
      <c r="B12" s="6" t="n">
        <v>0</v>
      </c>
      <c r="C12" s="10">
        <f>C11-Inputs!$C$45</f>
        <v/>
      </c>
      <c r="D12" s="6">
        <f>D11-Inputs!$C$45*(1+Inputs!$C$20)^(2-1)</f>
        <v/>
      </c>
      <c r="E12" s="6">
        <f>E11-Inputs!$C$45*(1+Inputs!$C$20)^(3-1)</f>
        <v/>
      </c>
      <c r="F12" s="6">
        <f>F11-Inputs!$C$45*(1+Inputs!$C$20)^(4-1)</f>
        <v/>
      </c>
      <c r="G12" s="6">
        <f>G11-Inputs!$C$45*(1+Inputs!$C$20)^(5-1)</f>
        <v/>
      </c>
      <c r="H12" s="6">
        <f>H11-Inputs!$C$45*(1+Inputs!$C$20)^(6-1)</f>
        <v/>
      </c>
      <c r="I12" s="6">
        <f>I11-Inputs!$C$45*(1+Inputs!$C$20)^(7-1)</f>
        <v/>
      </c>
      <c r="J12" s="6">
        <f>J11-Inputs!$C$45*(1+Inputs!$C$20)^(8-1)</f>
        <v/>
      </c>
      <c r="K12" s="6">
        <f>K11-Inputs!$C$45*(1+Inputs!$C$20)^(9-1)</f>
        <v/>
      </c>
      <c r="L12" s="6">
        <f>L11-Inputs!$C$45*(1+Inputs!$C$20)^(10-1)</f>
        <v/>
      </c>
      <c r="M12" s="6">
        <f>M11-Inputs!$C$45*(1+Inputs!$C$20)^(11-1)</f>
        <v/>
      </c>
      <c r="N12" s="6">
        <f>N11-Inputs!$C$45*(1+Inputs!$C$20)^(12-1)</f>
        <v/>
      </c>
      <c r="O12" s="6">
        <f>O11-Inputs!$C$45*(1+Inputs!$C$20)^(13-1)</f>
        <v/>
      </c>
      <c r="P12" s="6">
        <f>P11-Inputs!$C$45*(1+Inputs!$C$20)^(14-1)</f>
        <v/>
      </c>
      <c r="Q12" s="6">
        <f>Q11-Inputs!$C$45*(1+Inputs!$C$20)^(15-1)</f>
        <v/>
      </c>
      <c r="R12" s="6">
        <f>R11-Inputs!$C$45*(1+Inputs!$C$20)^(16-1)</f>
        <v/>
      </c>
      <c r="S12" s="6">
        <f>S11-Inputs!$C$45*(1+Inputs!$C$20)^(17-1)</f>
        <v/>
      </c>
      <c r="T12" s="6">
        <f>T11-Inputs!$C$45*(1+Inputs!$C$20)^(18-1)</f>
        <v/>
      </c>
      <c r="U12" s="6">
        <f>U11-Inputs!$C$45*(1+Inputs!$C$20)^(19-1)</f>
        <v/>
      </c>
      <c r="V12" s="6">
        <f>V11-Inputs!$C$45*(1+Inputs!$C$20)^(20-1)</f>
        <v/>
      </c>
      <c r="W12" s="6">
        <f>W11-Inputs!$C$45*(1+Inputs!$C$20)^(21-1)</f>
        <v/>
      </c>
      <c r="X12" s="6">
        <f>X11-Inputs!$C$45*(1+Inputs!$C$20)^(22-1)</f>
        <v/>
      </c>
      <c r="Y12" s="6">
        <f>Y11-Inputs!$C$45*(1+Inputs!$C$20)^(23-1)</f>
        <v/>
      </c>
      <c r="Z12" s="6">
        <f>Z11-Inputs!$C$45*(1+Inputs!$C$20)^(24-1)</f>
        <v/>
      </c>
      <c r="AA12" s="6">
        <f>AA11-Inputs!$C$45*(1+Inputs!$C$20)^(25-1)</f>
        <v/>
      </c>
    </row>
    <row r="13">
      <c r="A13" s="3" t="inlineStr">
        <is>
          <t>Bill Savings ($)</t>
        </is>
      </c>
      <c r="B13" s="6" t="n">
        <v>0</v>
      </c>
      <c r="C13" s="6">
        <f>C11-C12</f>
        <v/>
      </c>
      <c r="D13" s="6">
        <f>D11-D12</f>
        <v/>
      </c>
      <c r="E13" s="6">
        <f>E11-E12</f>
        <v/>
      </c>
      <c r="F13" s="6">
        <f>F11-F12</f>
        <v/>
      </c>
      <c r="G13" s="6">
        <f>G11-G12</f>
        <v/>
      </c>
      <c r="H13" s="6">
        <f>H11-H12</f>
        <v/>
      </c>
      <c r="I13" s="6">
        <f>I11-I12</f>
        <v/>
      </c>
      <c r="J13" s="6">
        <f>J11-J12</f>
        <v/>
      </c>
      <c r="K13" s="6">
        <f>K11-K12</f>
        <v/>
      </c>
      <c r="L13" s="6">
        <f>L11-L12</f>
        <v/>
      </c>
      <c r="M13" s="6">
        <f>M11-M12</f>
        <v/>
      </c>
      <c r="N13" s="6">
        <f>N11-N12</f>
        <v/>
      </c>
      <c r="O13" s="6">
        <f>O11-O12</f>
        <v/>
      </c>
      <c r="P13" s="6">
        <f>P11-P12</f>
        <v/>
      </c>
      <c r="Q13" s="6">
        <f>Q11-Q12</f>
        <v/>
      </c>
      <c r="R13" s="6">
        <f>R11-R12</f>
        <v/>
      </c>
      <c r="S13" s="6">
        <f>S11-S12</f>
        <v/>
      </c>
      <c r="T13" s="6">
        <f>T11-T12</f>
        <v/>
      </c>
      <c r="U13" s="6">
        <f>U11-U12</f>
        <v/>
      </c>
      <c r="V13" s="6">
        <f>V11-V12</f>
        <v/>
      </c>
      <c r="W13" s="6">
        <f>W11-W12</f>
        <v/>
      </c>
      <c r="X13" s="6">
        <f>X11-X12</f>
        <v/>
      </c>
      <c r="Y13" s="6">
        <f>Y11-Y12</f>
        <v/>
      </c>
      <c r="Z13" s="6">
        <f>Z11-Z12</f>
        <v/>
      </c>
      <c r="AA13" s="6">
        <f>AA11-AA12</f>
        <v/>
      </c>
    </row>
    <row r="14">
      <c r="A14" s="3" t="inlineStr">
        <is>
          <t>Incentive Annual ($)</t>
        </is>
      </c>
      <c r="B14" s="6" t="n">
        <v>0</v>
      </c>
      <c r="C14" s="10">
        <f>IF(1&lt;=Inputs!$C$38,Inputs!$C$35,0)</f>
        <v/>
      </c>
      <c r="D14" s="10">
        <f>IF(2&lt;=Inputs!$C$38,Inputs!$C$35,0)</f>
        <v/>
      </c>
      <c r="E14" s="10">
        <f>IF(3&lt;=Inputs!$C$38,Inputs!$C$35,0)</f>
        <v/>
      </c>
      <c r="F14" s="10">
        <f>IF(4&lt;=Inputs!$C$38,Inputs!$C$35,0)</f>
        <v/>
      </c>
      <c r="G14" s="10">
        <f>IF(5&lt;=Inputs!$C$38,Inputs!$C$35,0)</f>
        <v/>
      </c>
      <c r="H14" s="10">
        <f>IF(6&lt;=Inputs!$C$38,Inputs!$C$35,0)</f>
        <v/>
      </c>
      <c r="I14" s="10">
        <f>IF(7&lt;=Inputs!$C$38,Inputs!$C$35,0)</f>
        <v/>
      </c>
      <c r="J14" s="10">
        <f>IF(8&lt;=Inputs!$C$38,Inputs!$C$35,0)</f>
        <v/>
      </c>
      <c r="K14" s="10">
        <f>IF(9&lt;=Inputs!$C$38,Inputs!$C$35,0)</f>
        <v/>
      </c>
      <c r="L14" s="10">
        <f>IF(10&lt;=Inputs!$C$38,Inputs!$C$35,0)</f>
        <v/>
      </c>
      <c r="M14" s="10">
        <f>IF(11&lt;=Inputs!$C$38,Inputs!$C$35,0)</f>
        <v/>
      </c>
      <c r="N14" s="10">
        <f>IF(12&lt;=Inputs!$C$38,Inputs!$C$35,0)</f>
        <v/>
      </c>
      <c r="O14" s="10">
        <f>IF(13&lt;=Inputs!$C$38,Inputs!$C$35,0)</f>
        <v/>
      </c>
      <c r="P14" s="10">
        <f>IF(14&lt;=Inputs!$C$38,Inputs!$C$35,0)</f>
        <v/>
      </c>
      <c r="Q14" s="10">
        <f>IF(15&lt;=Inputs!$C$38,Inputs!$C$35,0)</f>
        <v/>
      </c>
      <c r="R14" s="10">
        <f>IF(16&lt;=Inputs!$C$38,Inputs!$C$35,0)</f>
        <v/>
      </c>
      <c r="S14" s="10">
        <f>IF(17&lt;=Inputs!$C$38,Inputs!$C$35,0)</f>
        <v/>
      </c>
      <c r="T14" s="10">
        <f>IF(18&lt;=Inputs!$C$38,Inputs!$C$35,0)</f>
        <v/>
      </c>
      <c r="U14" s="10">
        <f>IF(19&lt;=Inputs!$C$38,Inputs!$C$35,0)</f>
        <v/>
      </c>
      <c r="V14" s="10">
        <f>IF(20&lt;=Inputs!$C$38,Inputs!$C$35,0)</f>
        <v/>
      </c>
      <c r="W14" s="10">
        <f>IF(21&lt;=Inputs!$C$38,Inputs!$C$35,0)</f>
        <v/>
      </c>
      <c r="X14" s="10">
        <f>IF(22&lt;=Inputs!$C$38,Inputs!$C$35,0)</f>
        <v/>
      </c>
      <c r="Y14" s="10">
        <f>IF(23&lt;=Inputs!$C$38,Inputs!$C$35,0)</f>
        <v/>
      </c>
      <c r="Z14" s="10">
        <f>IF(24&lt;=Inputs!$C$38,Inputs!$C$35,0)</f>
        <v/>
      </c>
      <c r="AA14" s="10">
        <f>IF(25&lt;=Inputs!$C$38,Inputs!$C$35,0)</f>
        <v/>
      </c>
    </row>
    <row r="15">
      <c r="A15" s="3" t="inlineStr">
        <is>
          <t>Total Savings ($)</t>
        </is>
      </c>
      <c r="B15" s="6" t="n">
        <v>0</v>
      </c>
      <c r="C15" s="6">
        <f>C13+C14</f>
        <v/>
      </c>
      <c r="D15" s="6">
        <f>D13+D14</f>
        <v/>
      </c>
      <c r="E15" s="6">
        <f>E13+E14</f>
        <v/>
      </c>
      <c r="F15" s="6">
        <f>F13+F14</f>
        <v/>
      </c>
      <c r="G15" s="6">
        <f>G13+G14</f>
        <v/>
      </c>
      <c r="H15" s="6">
        <f>H13+H14</f>
        <v/>
      </c>
      <c r="I15" s="6">
        <f>I13+I14</f>
        <v/>
      </c>
      <c r="J15" s="6">
        <f>J13+J14</f>
        <v/>
      </c>
      <c r="K15" s="6">
        <f>K13+K14</f>
        <v/>
      </c>
      <c r="L15" s="6">
        <f>L13+L14</f>
        <v/>
      </c>
      <c r="M15" s="6">
        <f>M13+M14</f>
        <v/>
      </c>
      <c r="N15" s="6">
        <f>N13+N14</f>
        <v/>
      </c>
      <c r="O15" s="6">
        <f>O13+O14</f>
        <v/>
      </c>
      <c r="P15" s="6">
        <f>P13+P14</f>
        <v/>
      </c>
      <c r="Q15" s="6">
        <f>Q13+Q14</f>
        <v/>
      </c>
      <c r="R15" s="6">
        <f>R13+R14</f>
        <v/>
      </c>
      <c r="S15" s="6">
        <f>S13+S14</f>
        <v/>
      </c>
      <c r="T15" s="6">
        <f>T13+T14</f>
        <v/>
      </c>
      <c r="U15" s="6">
        <f>U13+U14</f>
        <v/>
      </c>
      <c r="V15" s="6">
        <f>V13+V14</f>
        <v/>
      </c>
      <c r="W15" s="6">
        <f>W13+W14</f>
        <v/>
      </c>
      <c r="X15" s="6">
        <f>X13+X14</f>
        <v/>
      </c>
      <c r="Y15" s="6">
        <f>Y13+Y14</f>
        <v/>
      </c>
      <c r="Z15" s="6">
        <f>Z13+Z14</f>
        <v/>
      </c>
      <c r="AA15" s="6">
        <f>AA13+AA14</f>
        <v/>
      </c>
    </row>
    <row r="16">
      <c r="A16" s="3" t="inlineStr">
        <is>
          <t>Net Savings ($)</t>
        </is>
      </c>
      <c r="B16" s="6" t="n">
        <v>0</v>
      </c>
      <c r="C16" s="6">
        <f>C15-C10</f>
        <v/>
      </c>
      <c r="D16" s="6">
        <f>D15-D10</f>
        <v/>
      </c>
      <c r="E16" s="6">
        <f>E15-E10</f>
        <v/>
      </c>
      <c r="F16" s="6">
        <f>F15-F10</f>
        <v/>
      </c>
      <c r="G16" s="6">
        <f>G15-G10</f>
        <v/>
      </c>
      <c r="H16" s="6">
        <f>H15-H10</f>
        <v/>
      </c>
      <c r="I16" s="6">
        <f>I15-I10</f>
        <v/>
      </c>
      <c r="J16" s="6">
        <f>J15-J10</f>
        <v/>
      </c>
      <c r="K16" s="6">
        <f>K15-K10</f>
        <v/>
      </c>
      <c r="L16" s="6">
        <f>L15-L10</f>
        <v/>
      </c>
      <c r="M16" s="6">
        <f>M15-M10</f>
        <v/>
      </c>
      <c r="N16" s="6">
        <f>N15-N10</f>
        <v/>
      </c>
      <c r="O16" s="6">
        <f>O15-O10</f>
        <v/>
      </c>
      <c r="P16" s="6">
        <f>P15-P10</f>
        <v/>
      </c>
      <c r="Q16" s="6">
        <f>Q15-Q10</f>
        <v/>
      </c>
      <c r="R16" s="6">
        <f>R15-R10</f>
        <v/>
      </c>
      <c r="S16" s="6">
        <f>S15-S10</f>
        <v/>
      </c>
      <c r="T16" s="6">
        <f>T15-T10</f>
        <v/>
      </c>
      <c r="U16" s="6">
        <f>U15-U10</f>
        <v/>
      </c>
      <c r="V16" s="6">
        <f>V15-V10</f>
        <v/>
      </c>
      <c r="W16" s="6">
        <f>W15-W10</f>
        <v/>
      </c>
      <c r="X16" s="6">
        <f>X15-X10</f>
        <v/>
      </c>
      <c r="Y16" s="6">
        <f>Y15-Y10</f>
        <v/>
      </c>
      <c r="Z16" s="6">
        <f>Z15-Z10</f>
        <v/>
      </c>
      <c r="AA16" s="6">
        <f>AA15-AA10</f>
        <v/>
      </c>
    </row>
    <row r="17">
      <c r="A17" s="3" t="inlineStr">
        <is>
          <t>Cumulative NPV ($)</t>
        </is>
      </c>
      <c r="B17" s="6" t="n">
        <v>0</v>
      </c>
      <c r="C17" s="6">
        <f>C16/(1+Inputs!$C$19)^1</f>
        <v/>
      </c>
      <c r="D17" s="6">
        <f>C17+D16/(1+Inputs!$C$19)^2</f>
        <v/>
      </c>
      <c r="E17" s="6">
        <f>D17+E16/(1+Inputs!$C$19)^3</f>
        <v/>
      </c>
      <c r="F17" s="6">
        <f>E17+F16/(1+Inputs!$C$19)^4</f>
        <v/>
      </c>
      <c r="G17" s="6">
        <f>F17+G16/(1+Inputs!$C$19)^5</f>
        <v/>
      </c>
      <c r="H17" s="6">
        <f>G17+H16/(1+Inputs!$C$19)^6</f>
        <v/>
      </c>
      <c r="I17" s="6">
        <f>H17+I16/(1+Inputs!$C$19)^7</f>
        <v/>
      </c>
      <c r="J17" s="6">
        <f>I17+J16/(1+Inputs!$C$19)^8</f>
        <v/>
      </c>
      <c r="K17" s="6">
        <f>J17+K16/(1+Inputs!$C$19)^9</f>
        <v/>
      </c>
      <c r="L17" s="6">
        <f>K17+L16/(1+Inputs!$C$19)^10</f>
        <v/>
      </c>
      <c r="M17" s="6">
        <f>L17+M16/(1+Inputs!$C$19)^11</f>
        <v/>
      </c>
      <c r="N17" s="6">
        <f>M17+N16/(1+Inputs!$C$19)^12</f>
        <v/>
      </c>
      <c r="O17" s="6">
        <f>N17+O16/(1+Inputs!$C$19)^13</f>
        <v/>
      </c>
      <c r="P17" s="6">
        <f>O17+P16/(1+Inputs!$C$19)^14</f>
        <v/>
      </c>
      <c r="Q17" s="6">
        <f>P17+Q16/(1+Inputs!$C$19)^15</f>
        <v/>
      </c>
      <c r="R17" s="6">
        <f>Q17+R16/(1+Inputs!$C$19)^16</f>
        <v/>
      </c>
      <c r="S17" s="6">
        <f>R17+S16/(1+Inputs!$C$19)^17</f>
        <v/>
      </c>
      <c r="T17" s="6">
        <f>S17+T16/(1+Inputs!$C$19)^18</f>
        <v/>
      </c>
      <c r="U17" s="6">
        <f>T17+U16/(1+Inputs!$C$19)^19</f>
        <v/>
      </c>
      <c r="V17" s="6">
        <f>U17+V16/(1+Inputs!$C$19)^20</f>
        <v/>
      </c>
      <c r="W17" s="6">
        <f>V17+W16/(1+Inputs!$C$19)^21</f>
        <v/>
      </c>
      <c r="X17" s="6">
        <f>W17+X16/(1+Inputs!$C$19)^22</f>
        <v/>
      </c>
      <c r="Y17" s="6">
        <f>X17+Y16/(1+Inputs!$C$19)^23</f>
        <v/>
      </c>
      <c r="Z17" s="6">
        <f>Y17+Z16/(1+Inputs!$C$19)^24</f>
        <v/>
      </c>
      <c r="AA17" s="6">
        <f>Z17+AA16/(1+Inputs!$C$19)^25</f>
        <v/>
      </c>
    </row>
    <row r="18">
      <c r="A18" s="11" t="inlineStr">
        <is>
          <t>Simple Payback (yr)</t>
        </is>
      </c>
      <c r="B18" s="12">
        <f>IF((C13+C14)&gt;0,B7/(C13+C14),"N/A")</f>
        <v/>
      </c>
    </row>
    <row r="19">
      <c r="A19" s="11" t="inlineStr">
        <is>
          <t>NPV Breakeven Year</t>
        </is>
      </c>
      <c r="B19" s="5" t="inlineStr">
        <is>
          <t>See Cumulative NPV row 17 for first year ≥ 0</t>
        </is>
      </c>
    </row>
    <row r="20"/>
    <row r="21"/>
    <row r="22">
      <c r="A22" s="8" t="inlineStr">
        <is>
          <t>Solar Only — No Incentives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</row>
    <row r="23">
      <c r="A23" s="2" t="inlineStr">
        <is>
          <t>Year</t>
        </is>
      </c>
      <c r="B23" s="3" t="n">
        <v>0</v>
      </c>
      <c r="C23" s="3" t="n">
        <v>1</v>
      </c>
      <c r="D23" s="3" t="n">
        <v>2</v>
      </c>
      <c r="E23" s="3" t="n">
        <v>3</v>
      </c>
      <c r="F23" s="3" t="n">
        <v>4</v>
      </c>
      <c r="G23" s="3" t="n">
        <v>5</v>
      </c>
      <c r="H23" s="3" t="n">
        <v>6</v>
      </c>
      <c r="I23" s="3" t="n">
        <v>7</v>
      </c>
      <c r="J23" s="3" t="n">
        <v>8</v>
      </c>
      <c r="K23" s="3" t="n">
        <v>9</v>
      </c>
      <c r="L23" s="3" t="n">
        <v>10</v>
      </c>
      <c r="M23" s="3" t="n">
        <v>11</v>
      </c>
      <c r="N23" s="3" t="n">
        <v>12</v>
      </c>
      <c r="O23" s="3" t="n">
        <v>13</v>
      </c>
      <c r="P23" s="3" t="n">
        <v>14</v>
      </c>
      <c r="Q23" s="3" t="n">
        <v>15</v>
      </c>
      <c r="R23" s="3" t="n">
        <v>16</v>
      </c>
      <c r="S23" s="3" t="n">
        <v>17</v>
      </c>
      <c r="T23" s="3" t="n">
        <v>18</v>
      </c>
      <c r="U23" s="3" t="n">
        <v>19</v>
      </c>
      <c r="V23" s="3" t="n">
        <v>20</v>
      </c>
      <c r="W23" s="3" t="n">
        <v>21</v>
      </c>
      <c r="X23" s="3" t="n">
        <v>22</v>
      </c>
      <c r="Y23" s="3" t="n">
        <v>23</v>
      </c>
      <c r="Z23" s="3" t="n">
        <v>24</v>
      </c>
      <c r="AA23" s="3" t="n">
        <v>25</v>
      </c>
    </row>
    <row r="24">
      <c r="A24" s="3" t="inlineStr">
        <is>
          <t>Debt Balance ($)</t>
        </is>
      </c>
      <c r="B24" s="6">
        <f>Inputs!C11</f>
        <v/>
      </c>
      <c r="C24" s="6">
        <f>B24-C26</f>
        <v/>
      </c>
      <c r="D24" s="6">
        <f>C24-D26</f>
        <v/>
      </c>
      <c r="E24" s="6">
        <f>D24-E26</f>
        <v/>
      </c>
      <c r="F24" s="6">
        <f>E24-F26</f>
        <v/>
      </c>
      <c r="G24" s="6">
        <f>F24-G26</f>
        <v/>
      </c>
      <c r="H24" s="6">
        <f>G24-H26</f>
        <v/>
      </c>
      <c r="I24" s="6">
        <f>H24-I26</f>
        <v/>
      </c>
      <c r="J24" s="6">
        <f>I24-J26</f>
        <v/>
      </c>
      <c r="K24" s="6">
        <f>J24-K26</f>
        <v/>
      </c>
      <c r="L24" s="6">
        <f>K24-L26</f>
        <v/>
      </c>
      <c r="M24" s="6">
        <f>L24-M26</f>
        <v/>
      </c>
      <c r="N24" s="6">
        <f>M24-N26</f>
        <v/>
      </c>
      <c r="O24" s="6">
        <f>N24-O26</f>
        <v/>
      </c>
      <c r="P24" s="6">
        <f>O24-P26</f>
        <v/>
      </c>
      <c r="Q24" s="6">
        <f>P24-Q26</f>
        <v/>
      </c>
      <c r="R24" s="6">
        <f>Q24-R26</f>
        <v/>
      </c>
      <c r="S24" s="6">
        <f>R24-S26</f>
        <v/>
      </c>
      <c r="T24" s="6">
        <f>S24-T26</f>
        <v/>
      </c>
      <c r="U24" s="6">
        <f>T24-U26</f>
        <v/>
      </c>
      <c r="V24" s="6">
        <f>U24-V26</f>
        <v/>
      </c>
      <c r="W24" s="6">
        <f>V24-W26</f>
        <v/>
      </c>
      <c r="X24" s="6">
        <f>W24-X26</f>
        <v/>
      </c>
      <c r="Y24" s="6">
        <f>X24-Y26</f>
        <v/>
      </c>
      <c r="Z24" s="6">
        <f>Y24-Z26</f>
        <v/>
      </c>
      <c r="AA24" s="6">
        <f>Z24-AA26</f>
        <v/>
      </c>
    </row>
    <row r="25">
      <c r="A25" s="3" t="inlineStr">
        <is>
          <t>Interest Payment ($)</t>
        </is>
      </c>
      <c r="B25" s="6" t="n">
        <v>0</v>
      </c>
      <c r="C25" s="6">
        <f>B24*Inputs!$C$17</f>
        <v/>
      </c>
      <c r="D25" s="6">
        <f>C24*Inputs!$C$17</f>
        <v/>
      </c>
      <c r="E25" s="6">
        <f>D24*Inputs!$C$17</f>
        <v/>
      </c>
      <c r="F25" s="6">
        <f>E24*Inputs!$C$17</f>
        <v/>
      </c>
      <c r="G25" s="6">
        <f>F24*Inputs!$C$17</f>
        <v/>
      </c>
      <c r="H25" s="6">
        <f>G24*Inputs!$C$17</f>
        <v/>
      </c>
      <c r="I25" s="6">
        <f>H24*Inputs!$C$17</f>
        <v/>
      </c>
      <c r="J25" s="6">
        <f>I24*Inputs!$C$17</f>
        <v/>
      </c>
      <c r="K25" s="6">
        <f>J24*Inputs!$C$17</f>
        <v/>
      </c>
      <c r="L25" s="6">
        <f>K24*Inputs!$C$17</f>
        <v/>
      </c>
      <c r="M25" s="6">
        <f>L24*Inputs!$C$17</f>
        <v/>
      </c>
      <c r="N25" s="6">
        <f>M24*Inputs!$C$17</f>
        <v/>
      </c>
      <c r="O25" s="6">
        <f>N24*Inputs!$C$17</f>
        <v/>
      </c>
      <c r="P25" s="6">
        <f>O24*Inputs!$C$17</f>
        <v/>
      </c>
      <c r="Q25" s="6">
        <f>P24*Inputs!$C$17</f>
        <v/>
      </c>
      <c r="R25" s="6">
        <f>Q24*Inputs!$C$17</f>
        <v/>
      </c>
      <c r="S25" s="6">
        <f>R24*Inputs!$C$17</f>
        <v/>
      </c>
      <c r="T25" s="6">
        <f>S24*Inputs!$C$17</f>
        <v/>
      </c>
      <c r="U25" s="6">
        <f>T24*Inputs!$C$17</f>
        <v/>
      </c>
      <c r="V25" s="6">
        <f>U24*Inputs!$C$17</f>
        <v/>
      </c>
      <c r="W25" s="6">
        <f>V24*Inputs!$C$17</f>
        <v/>
      </c>
      <c r="X25" s="6">
        <f>W24*Inputs!$C$17</f>
        <v/>
      </c>
      <c r="Y25" s="6">
        <f>X24*Inputs!$C$17</f>
        <v/>
      </c>
      <c r="Z25" s="6">
        <f>Y24*Inputs!$C$17</f>
        <v/>
      </c>
      <c r="AA25" s="6">
        <f>Z24*Inputs!$C$17</f>
        <v/>
      </c>
    </row>
    <row r="26">
      <c r="A26" s="3" t="inlineStr">
        <is>
          <t>Principal Payment ($)</t>
        </is>
      </c>
      <c r="B26" s="6" t="n">
        <v>0</v>
      </c>
      <c r="C26" s="6">
        <f>-PMT(Inputs!$C$17,Inputs!$C$18,$B$24)-C25</f>
        <v/>
      </c>
      <c r="D26" s="6">
        <f>-PMT(Inputs!$C$17,Inputs!$C$18,$B$24)-D25</f>
        <v/>
      </c>
      <c r="E26" s="6">
        <f>-PMT(Inputs!$C$17,Inputs!$C$18,$B$24)-E25</f>
        <v/>
      </c>
      <c r="F26" s="6">
        <f>-PMT(Inputs!$C$17,Inputs!$C$18,$B$24)-F25</f>
        <v/>
      </c>
      <c r="G26" s="6">
        <f>-PMT(Inputs!$C$17,Inputs!$C$18,$B$24)-G25</f>
        <v/>
      </c>
      <c r="H26" s="6">
        <f>-PMT(Inputs!$C$17,Inputs!$C$18,$B$24)-H25</f>
        <v/>
      </c>
      <c r="I26" s="6">
        <f>-PMT(Inputs!$C$17,Inputs!$C$18,$B$24)-I25</f>
        <v/>
      </c>
      <c r="J26" s="6">
        <f>-PMT(Inputs!$C$17,Inputs!$C$18,$B$24)-J25</f>
        <v/>
      </c>
      <c r="K26" s="6">
        <f>-PMT(Inputs!$C$17,Inputs!$C$18,$B$24)-K25</f>
        <v/>
      </c>
      <c r="L26" s="6">
        <f>-PMT(Inputs!$C$17,Inputs!$C$18,$B$24)-L25</f>
        <v/>
      </c>
      <c r="M26" s="6">
        <f>-PMT(Inputs!$C$17,Inputs!$C$18,$B$24)-M25</f>
        <v/>
      </c>
      <c r="N26" s="6">
        <f>-PMT(Inputs!$C$17,Inputs!$C$18,$B$24)-N25</f>
        <v/>
      </c>
      <c r="O26" s="6">
        <f>-PMT(Inputs!$C$17,Inputs!$C$18,$B$24)-O25</f>
        <v/>
      </c>
      <c r="P26" s="6">
        <f>-PMT(Inputs!$C$17,Inputs!$C$18,$B$24)-P25</f>
        <v/>
      </c>
      <c r="Q26" s="6">
        <f>-PMT(Inputs!$C$17,Inputs!$C$18,$B$24)-Q25</f>
        <v/>
      </c>
      <c r="R26" s="6">
        <f>-PMT(Inputs!$C$17,Inputs!$C$18,$B$24)-R25</f>
        <v/>
      </c>
      <c r="S26" s="6">
        <f>-PMT(Inputs!$C$17,Inputs!$C$18,$B$24)-S25</f>
        <v/>
      </c>
      <c r="T26" s="6">
        <f>-PMT(Inputs!$C$17,Inputs!$C$18,$B$24)-T25</f>
        <v/>
      </c>
      <c r="U26" s="6">
        <f>-PMT(Inputs!$C$17,Inputs!$C$18,$B$24)-U25</f>
        <v/>
      </c>
      <c r="V26" s="6">
        <f>-PMT(Inputs!$C$17,Inputs!$C$18,$B$24)-V25</f>
        <v/>
      </c>
      <c r="W26" s="6">
        <f>-PMT(Inputs!$C$17,Inputs!$C$18,$B$24)-W25</f>
        <v/>
      </c>
      <c r="X26" s="6">
        <f>-PMT(Inputs!$C$17,Inputs!$C$18,$B$24)-X25</f>
        <v/>
      </c>
      <c r="Y26" s="6">
        <f>-PMT(Inputs!$C$17,Inputs!$C$18,$B$24)-Y25</f>
        <v/>
      </c>
      <c r="Z26" s="6">
        <f>-PMT(Inputs!$C$17,Inputs!$C$18,$B$24)-Z25</f>
        <v/>
      </c>
      <c r="AA26" s="6">
        <f>-PMT(Inputs!$C$17,Inputs!$C$18,$B$24)-AA25</f>
        <v/>
      </c>
    </row>
    <row r="27">
      <c r="A27" s="3" t="inlineStr">
        <is>
          <t>Total P&amp;I Payment ($)</t>
        </is>
      </c>
      <c r="B27" s="6" t="n">
        <v>0</v>
      </c>
      <c r="C27" s="6">
        <f>C25+C26</f>
        <v/>
      </c>
      <c r="D27" s="6">
        <f>D25+D26</f>
        <v/>
      </c>
      <c r="E27" s="6">
        <f>E25+E26</f>
        <v/>
      </c>
      <c r="F27" s="6">
        <f>F25+F26</f>
        <v/>
      </c>
      <c r="G27" s="6">
        <f>G25+G26</f>
        <v/>
      </c>
      <c r="H27" s="6">
        <f>H25+H26</f>
        <v/>
      </c>
      <c r="I27" s="6">
        <f>I25+I26</f>
        <v/>
      </c>
      <c r="J27" s="6">
        <f>J25+J26</f>
        <v/>
      </c>
      <c r="K27" s="6">
        <f>K25+K26</f>
        <v/>
      </c>
      <c r="L27" s="6">
        <f>L25+L26</f>
        <v/>
      </c>
      <c r="M27" s="6">
        <f>M25+M26</f>
        <v/>
      </c>
      <c r="N27" s="6">
        <f>N25+N26</f>
        <v/>
      </c>
      <c r="O27" s="6">
        <f>O25+O26</f>
        <v/>
      </c>
      <c r="P27" s="6">
        <f>P25+P26</f>
        <v/>
      </c>
      <c r="Q27" s="6">
        <f>Q25+Q26</f>
        <v/>
      </c>
      <c r="R27" s="6">
        <f>R25+R26</f>
        <v/>
      </c>
      <c r="S27" s="6">
        <f>S25+S26</f>
        <v/>
      </c>
      <c r="T27" s="6">
        <f>T25+T26</f>
        <v/>
      </c>
      <c r="U27" s="6">
        <f>U25+U26</f>
        <v/>
      </c>
      <c r="V27" s="6">
        <f>V25+V26</f>
        <v/>
      </c>
      <c r="W27" s="6">
        <f>W25+W26</f>
        <v/>
      </c>
      <c r="X27" s="6">
        <f>X25+X26</f>
        <v/>
      </c>
      <c r="Y27" s="6">
        <f>Y25+Y26</f>
        <v/>
      </c>
      <c r="Z27" s="6">
        <f>Z25+Z26</f>
        <v/>
      </c>
      <c r="AA27" s="6">
        <f>AA25+AA26</f>
        <v/>
      </c>
    </row>
    <row r="28">
      <c r="A28" s="3" t="inlineStr">
        <is>
          <t>Bill w/o System ($)</t>
        </is>
      </c>
      <c r="B28" s="6" t="n">
        <v>0</v>
      </c>
      <c r="C28" s="10">
        <f>Inputs!$C$30</f>
        <v/>
      </c>
      <c r="D28" s="6">
        <f>C28*(1+Inputs!$C$20)</f>
        <v/>
      </c>
      <c r="E28" s="6">
        <f>D28*(1+Inputs!$C$20)</f>
        <v/>
      </c>
      <c r="F28" s="6">
        <f>E28*(1+Inputs!$C$20)</f>
        <v/>
      </c>
      <c r="G28" s="6">
        <f>F28*(1+Inputs!$C$20)</f>
        <v/>
      </c>
      <c r="H28" s="6">
        <f>G28*(1+Inputs!$C$20)</f>
        <v/>
      </c>
      <c r="I28" s="6">
        <f>H28*(1+Inputs!$C$20)</f>
        <v/>
      </c>
      <c r="J28" s="6">
        <f>I28*(1+Inputs!$C$20)</f>
        <v/>
      </c>
      <c r="K28" s="6">
        <f>J28*(1+Inputs!$C$20)</f>
        <v/>
      </c>
      <c r="L28" s="6">
        <f>K28*(1+Inputs!$C$20)</f>
        <v/>
      </c>
      <c r="M28" s="6">
        <f>L28*(1+Inputs!$C$20)</f>
        <v/>
      </c>
      <c r="N28" s="6">
        <f>M28*(1+Inputs!$C$20)</f>
        <v/>
      </c>
      <c r="O28" s="6">
        <f>N28*(1+Inputs!$C$20)</f>
        <v/>
      </c>
      <c r="P28" s="6">
        <f>O28*(1+Inputs!$C$20)</f>
        <v/>
      </c>
      <c r="Q28" s="6">
        <f>P28*(1+Inputs!$C$20)</f>
        <v/>
      </c>
      <c r="R28" s="6">
        <f>Q28*(1+Inputs!$C$20)</f>
        <v/>
      </c>
      <c r="S28" s="6">
        <f>R28*(1+Inputs!$C$20)</f>
        <v/>
      </c>
      <c r="T28" s="6">
        <f>S28*(1+Inputs!$C$20)</f>
        <v/>
      </c>
      <c r="U28" s="6">
        <f>T28*(1+Inputs!$C$20)</f>
        <v/>
      </c>
      <c r="V28" s="6">
        <f>U28*(1+Inputs!$C$20)</f>
        <v/>
      </c>
      <c r="W28" s="6">
        <f>V28*(1+Inputs!$C$20)</f>
        <v/>
      </c>
      <c r="X28" s="6">
        <f>W28*(1+Inputs!$C$20)</f>
        <v/>
      </c>
      <c r="Y28" s="6">
        <f>X28*(1+Inputs!$C$20)</f>
        <v/>
      </c>
      <c r="Z28" s="6">
        <f>Y28*(1+Inputs!$C$20)</f>
        <v/>
      </c>
      <c r="AA28" s="6">
        <f>Z28*(1+Inputs!$C$20)</f>
        <v/>
      </c>
    </row>
    <row r="29">
      <c r="A29" s="3" t="inlineStr">
        <is>
          <t>Bill w/ System ($)</t>
        </is>
      </c>
      <c r="B29" s="6" t="n">
        <v>0</v>
      </c>
      <c r="C29" s="10">
        <f>C28-Inputs!$C$45</f>
        <v/>
      </c>
      <c r="D29" s="6">
        <f>D28-Inputs!$C$45*(1+Inputs!$C$20)^(2-1)</f>
        <v/>
      </c>
      <c r="E29" s="6">
        <f>E28-Inputs!$C$45*(1+Inputs!$C$20)^(3-1)</f>
        <v/>
      </c>
      <c r="F29" s="6">
        <f>F28-Inputs!$C$45*(1+Inputs!$C$20)^(4-1)</f>
        <v/>
      </c>
      <c r="G29" s="6">
        <f>G28-Inputs!$C$45*(1+Inputs!$C$20)^(5-1)</f>
        <v/>
      </c>
      <c r="H29" s="6">
        <f>H28-Inputs!$C$45*(1+Inputs!$C$20)^(6-1)</f>
        <v/>
      </c>
      <c r="I29" s="6">
        <f>I28-Inputs!$C$45*(1+Inputs!$C$20)^(7-1)</f>
        <v/>
      </c>
      <c r="J29" s="6">
        <f>J28-Inputs!$C$45*(1+Inputs!$C$20)^(8-1)</f>
        <v/>
      </c>
      <c r="K29" s="6">
        <f>K28-Inputs!$C$45*(1+Inputs!$C$20)^(9-1)</f>
        <v/>
      </c>
      <c r="L29" s="6">
        <f>L28-Inputs!$C$45*(1+Inputs!$C$20)^(10-1)</f>
        <v/>
      </c>
      <c r="M29" s="6">
        <f>M28-Inputs!$C$45*(1+Inputs!$C$20)^(11-1)</f>
        <v/>
      </c>
      <c r="N29" s="6">
        <f>N28-Inputs!$C$45*(1+Inputs!$C$20)^(12-1)</f>
        <v/>
      </c>
      <c r="O29" s="6">
        <f>O28-Inputs!$C$45*(1+Inputs!$C$20)^(13-1)</f>
        <v/>
      </c>
      <c r="P29" s="6">
        <f>P28-Inputs!$C$45*(1+Inputs!$C$20)^(14-1)</f>
        <v/>
      </c>
      <c r="Q29" s="6">
        <f>Q28-Inputs!$C$45*(1+Inputs!$C$20)^(15-1)</f>
        <v/>
      </c>
      <c r="R29" s="6">
        <f>R28-Inputs!$C$45*(1+Inputs!$C$20)^(16-1)</f>
        <v/>
      </c>
      <c r="S29" s="6">
        <f>S28-Inputs!$C$45*(1+Inputs!$C$20)^(17-1)</f>
        <v/>
      </c>
      <c r="T29" s="6">
        <f>T28-Inputs!$C$45*(1+Inputs!$C$20)^(18-1)</f>
        <v/>
      </c>
      <c r="U29" s="6">
        <f>U28-Inputs!$C$45*(1+Inputs!$C$20)^(19-1)</f>
        <v/>
      </c>
      <c r="V29" s="6">
        <f>V28-Inputs!$C$45*(1+Inputs!$C$20)^(20-1)</f>
        <v/>
      </c>
      <c r="W29" s="6">
        <f>W28-Inputs!$C$45*(1+Inputs!$C$20)^(21-1)</f>
        <v/>
      </c>
      <c r="X29" s="6">
        <f>X28-Inputs!$C$45*(1+Inputs!$C$20)^(22-1)</f>
        <v/>
      </c>
      <c r="Y29" s="6">
        <f>Y28-Inputs!$C$45*(1+Inputs!$C$20)^(23-1)</f>
        <v/>
      </c>
      <c r="Z29" s="6">
        <f>Z28-Inputs!$C$45*(1+Inputs!$C$20)^(24-1)</f>
        <v/>
      </c>
      <c r="AA29" s="6">
        <f>AA28-Inputs!$C$45*(1+Inputs!$C$20)^(25-1)</f>
        <v/>
      </c>
    </row>
    <row r="30">
      <c r="A30" s="3" t="inlineStr">
        <is>
          <t>Bill Savings ($)</t>
        </is>
      </c>
      <c r="B30" s="6" t="n">
        <v>0</v>
      </c>
      <c r="C30" s="6">
        <f>C28-C29</f>
        <v/>
      </c>
      <c r="D30" s="6">
        <f>D28-D29</f>
        <v/>
      </c>
      <c r="E30" s="6">
        <f>E28-E29</f>
        <v/>
      </c>
      <c r="F30" s="6">
        <f>F28-F29</f>
        <v/>
      </c>
      <c r="G30" s="6">
        <f>G28-G29</f>
        <v/>
      </c>
      <c r="H30" s="6">
        <f>H28-H29</f>
        <v/>
      </c>
      <c r="I30" s="6">
        <f>I28-I29</f>
        <v/>
      </c>
      <c r="J30" s="6">
        <f>J28-J29</f>
        <v/>
      </c>
      <c r="K30" s="6">
        <f>K28-K29</f>
        <v/>
      </c>
      <c r="L30" s="6">
        <f>L28-L29</f>
        <v/>
      </c>
      <c r="M30" s="6">
        <f>M28-M29</f>
        <v/>
      </c>
      <c r="N30" s="6">
        <f>N28-N29</f>
        <v/>
      </c>
      <c r="O30" s="6">
        <f>O28-O29</f>
        <v/>
      </c>
      <c r="P30" s="6">
        <f>P28-P29</f>
        <v/>
      </c>
      <c r="Q30" s="6">
        <f>Q28-Q29</f>
        <v/>
      </c>
      <c r="R30" s="6">
        <f>R28-R29</f>
        <v/>
      </c>
      <c r="S30" s="6">
        <f>S28-S29</f>
        <v/>
      </c>
      <c r="T30" s="6">
        <f>T28-T29</f>
        <v/>
      </c>
      <c r="U30" s="6">
        <f>U28-U29</f>
        <v/>
      </c>
      <c r="V30" s="6">
        <f>V28-V29</f>
        <v/>
      </c>
      <c r="W30" s="6">
        <f>W28-W29</f>
        <v/>
      </c>
      <c r="X30" s="6">
        <f>X28-X29</f>
        <v/>
      </c>
      <c r="Y30" s="6">
        <f>Y28-Y29</f>
        <v/>
      </c>
      <c r="Z30" s="6">
        <f>Z28-Z29</f>
        <v/>
      </c>
      <c r="AA30" s="6">
        <f>AA28-AA29</f>
        <v/>
      </c>
    </row>
    <row r="31">
      <c r="A31" s="3" t="inlineStr">
        <is>
          <t>Incentive Annual ($)</t>
        </is>
      </c>
      <c r="B31" s="6" t="n">
        <v>0</v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</row>
    <row r="32">
      <c r="A32" s="3" t="inlineStr">
        <is>
          <t>Total Savings ($)</t>
        </is>
      </c>
      <c r="B32" s="6" t="n">
        <v>0</v>
      </c>
      <c r="C32" s="6">
        <f>C30+C31</f>
        <v/>
      </c>
      <c r="D32" s="6">
        <f>D30+D31</f>
        <v/>
      </c>
      <c r="E32" s="6">
        <f>E30+E31</f>
        <v/>
      </c>
      <c r="F32" s="6">
        <f>F30+F31</f>
        <v/>
      </c>
      <c r="G32" s="6">
        <f>G30+G31</f>
        <v/>
      </c>
      <c r="H32" s="6">
        <f>H30+H31</f>
        <v/>
      </c>
      <c r="I32" s="6">
        <f>I30+I31</f>
        <v/>
      </c>
      <c r="J32" s="6">
        <f>J30+J31</f>
        <v/>
      </c>
      <c r="K32" s="6">
        <f>K30+K31</f>
        <v/>
      </c>
      <c r="L32" s="6">
        <f>L30+L31</f>
        <v/>
      </c>
      <c r="M32" s="6">
        <f>M30+M31</f>
        <v/>
      </c>
      <c r="N32" s="6">
        <f>N30+N31</f>
        <v/>
      </c>
      <c r="O32" s="6">
        <f>O30+O31</f>
        <v/>
      </c>
      <c r="P32" s="6">
        <f>P30+P31</f>
        <v/>
      </c>
      <c r="Q32" s="6">
        <f>Q30+Q31</f>
        <v/>
      </c>
      <c r="R32" s="6">
        <f>R30+R31</f>
        <v/>
      </c>
      <c r="S32" s="6">
        <f>S30+S31</f>
        <v/>
      </c>
      <c r="T32" s="6">
        <f>T30+T31</f>
        <v/>
      </c>
      <c r="U32" s="6">
        <f>U30+U31</f>
        <v/>
      </c>
      <c r="V32" s="6">
        <f>V30+V31</f>
        <v/>
      </c>
      <c r="W32" s="6">
        <f>W30+W31</f>
        <v/>
      </c>
      <c r="X32" s="6">
        <f>X30+X31</f>
        <v/>
      </c>
      <c r="Y32" s="6">
        <f>Y30+Y31</f>
        <v/>
      </c>
      <c r="Z32" s="6">
        <f>Z30+Z31</f>
        <v/>
      </c>
      <c r="AA32" s="6">
        <f>AA30+AA31</f>
        <v/>
      </c>
    </row>
    <row r="33">
      <c r="A33" s="3" t="inlineStr">
        <is>
          <t>Net Savings ($)</t>
        </is>
      </c>
      <c r="B33" s="6" t="n">
        <v>0</v>
      </c>
      <c r="C33" s="6">
        <f>C32-C27</f>
        <v/>
      </c>
      <c r="D33" s="6">
        <f>D32-D27</f>
        <v/>
      </c>
      <c r="E33" s="6">
        <f>E32-E27</f>
        <v/>
      </c>
      <c r="F33" s="6">
        <f>F32-F27</f>
        <v/>
      </c>
      <c r="G33" s="6">
        <f>G32-G27</f>
        <v/>
      </c>
      <c r="H33" s="6">
        <f>H32-H27</f>
        <v/>
      </c>
      <c r="I33" s="6">
        <f>I32-I27</f>
        <v/>
      </c>
      <c r="J33" s="6">
        <f>J32-J27</f>
        <v/>
      </c>
      <c r="K33" s="6">
        <f>K32-K27</f>
        <v/>
      </c>
      <c r="L33" s="6">
        <f>L32-L27</f>
        <v/>
      </c>
      <c r="M33" s="6">
        <f>M32-M27</f>
        <v/>
      </c>
      <c r="N33" s="6">
        <f>N32-N27</f>
        <v/>
      </c>
      <c r="O33" s="6">
        <f>O32-O27</f>
        <v/>
      </c>
      <c r="P33" s="6">
        <f>P32-P27</f>
        <v/>
      </c>
      <c r="Q33" s="6">
        <f>Q32-Q27</f>
        <v/>
      </c>
      <c r="R33" s="6">
        <f>R32-R27</f>
        <v/>
      </c>
      <c r="S33" s="6">
        <f>S32-S27</f>
        <v/>
      </c>
      <c r="T33" s="6">
        <f>T32-T27</f>
        <v/>
      </c>
      <c r="U33" s="6">
        <f>U32-U27</f>
        <v/>
      </c>
      <c r="V33" s="6">
        <f>V32-V27</f>
        <v/>
      </c>
      <c r="W33" s="6">
        <f>W32-W27</f>
        <v/>
      </c>
      <c r="X33" s="6">
        <f>X32-X27</f>
        <v/>
      </c>
      <c r="Y33" s="6">
        <f>Y32-Y27</f>
        <v/>
      </c>
      <c r="Z33" s="6">
        <f>Z32-Z27</f>
        <v/>
      </c>
      <c r="AA33" s="6">
        <f>AA32-AA27</f>
        <v/>
      </c>
    </row>
    <row r="34">
      <c r="A34" s="3" t="inlineStr">
        <is>
          <t>Cumulative NPV ($)</t>
        </is>
      </c>
      <c r="B34" s="6" t="n">
        <v>0</v>
      </c>
      <c r="C34" s="6">
        <f>C33/(1+Inputs!$C$19)^1</f>
        <v/>
      </c>
      <c r="D34" s="6">
        <f>C34+D33/(1+Inputs!$C$19)^2</f>
        <v/>
      </c>
      <c r="E34" s="6">
        <f>D34+E33/(1+Inputs!$C$19)^3</f>
        <v/>
      </c>
      <c r="F34" s="6">
        <f>E34+F33/(1+Inputs!$C$19)^4</f>
        <v/>
      </c>
      <c r="G34" s="6">
        <f>F34+G33/(1+Inputs!$C$19)^5</f>
        <v/>
      </c>
      <c r="H34" s="6">
        <f>G34+H33/(1+Inputs!$C$19)^6</f>
        <v/>
      </c>
      <c r="I34" s="6">
        <f>H34+I33/(1+Inputs!$C$19)^7</f>
        <v/>
      </c>
      <c r="J34" s="6">
        <f>I34+J33/(1+Inputs!$C$19)^8</f>
        <v/>
      </c>
      <c r="K34" s="6">
        <f>J34+K33/(1+Inputs!$C$19)^9</f>
        <v/>
      </c>
      <c r="L34" s="6">
        <f>K34+L33/(1+Inputs!$C$19)^10</f>
        <v/>
      </c>
      <c r="M34" s="6">
        <f>L34+M33/(1+Inputs!$C$19)^11</f>
        <v/>
      </c>
      <c r="N34" s="6">
        <f>M34+N33/(1+Inputs!$C$19)^12</f>
        <v/>
      </c>
      <c r="O34" s="6">
        <f>N34+O33/(1+Inputs!$C$19)^13</f>
        <v/>
      </c>
      <c r="P34" s="6">
        <f>O34+P33/(1+Inputs!$C$19)^14</f>
        <v/>
      </c>
      <c r="Q34" s="6">
        <f>P34+Q33/(1+Inputs!$C$19)^15</f>
        <v/>
      </c>
      <c r="R34" s="6">
        <f>Q34+R33/(1+Inputs!$C$19)^16</f>
        <v/>
      </c>
      <c r="S34" s="6">
        <f>R34+S33/(1+Inputs!$C$19)^17</f>
        <v/>
      </c>
      <c r="T34" s="6">
        <f>S34+T33/(1+Inputs!$C$19)^18</f>
        <v/>
      </c>
      <c r="U34" s="6">
        <f>T34+U33/(1+Inputs!$C$19)^19</f>
        <v/>
      </c>
      <c r="V34" s="6">
        <f>U34+V33/(1+Inputs!$C$19)^20</f>
        <v/>
      </c>
      <c r="W34" s="6">
        <f>V34+W33/(1+Inputs!$C$19)^21</f>
        <v/>
      </c>
      <c r="X34" s="6">
        <f>W34+X33/(1+Inputs!$C$19)^22</f>
        <v/>
      </c>
      <c r="Y34" s="6">
        <f>X34+Y33/(1+Inputs!$C$19)^23</f>
        <v/>
      </c>
      <c r="Z34" s="6">
        <f>Y34+Z33/(1+Inputs!$C$19)^24</f>
        <v/>
      </c>
      <c r="AA34" s="6">
        <f>Z34+AA33/(1+Inputs!$C$19)^25</f>
        <v/>
      </c>
    </row>
    <row r="35">
      <c r="A35" s="11" t="inlineStr">
        <is>
          <t>Simple Payback (yr)</t>
        </is>
      </c>
      <c r="B35" s="12">
        <f>IF((C30+C31)&gt;0,B24/(C30+C31),"N/A")</f>
        <v/>
      </c>
    </row>
    <row r="36">
      <c r="A36" s="11" t="inlineStr">
        <is>
          <t>NPV Breakeven Year</t>
        </is>
      </c>
      <c r="B36" s="5" t="inlineStr">
        <is>
          <t>See Cumulative NPV row 34 for first year ≥ 0</t>
        </is>
      </c>
    </row>
    <row r="37"/>
    <row r="38"/>
    <row r="39">
      <c r="A39" s="8" t="inlineStr">
        <is>
          <t>PV+Storage — All Incentives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</row>
    <row r="40">
      <c r="A40" s="2" t="inlineStr">
        <is>
          <t>Year</t>
        </is>
      </c>
      <c r="B40" s="3" t="n">
        <v>0</v>
      </c>
      <c r="C40" s="3" t="n">
        <v>1</v>
      </c>
      <c r="D40" s="3" t="n">
        <v>2</v>
      </c>
      <c r="E40" s="3" t="n">
        <v>3</v>
      </c>
      <c r="F40" s="3" t="n">
        <v>4</v>
      </c>
      <c r="G40" s="3" t="n">
        <v>5</v>
      </c>
      <c r="H40" s="3" t="n">
        <v>6</v>
      </c>
      <c r="I40" s="3" t="n">
        <v>7</v>
      </c>
      <c r="J40" s="3" t="n">
        <v>8</v>
      </c>
      <c r="K40" s="3" t="n">
        <v>9</v>
      </c>
      <c r="L40" s="3" t="n">
        <v>10</v>
      </c>
      <c r="M40" s="3" t="n">
        <v>11</v>
      </c>
      <c r="N40" s="3" t="n">
        <v>12</v>
      </c>
      <c r="O40" s="3" t="n">
        <v>13</v>
      </c>
      <c r="P40" s="3" t="n">
        <v>14</v>
      </c>
      <c r="Q40" s="3" t="n">
        <v>15</v>
      </c>
      <c r="R40" s="3" t="n">
        <v>16</v>
      </c>
      <c r="S40" s="3" t="n">
        <v>17</v>
      </c>
      <c r="T40" s="3" t="n">
        <v>18</v>
      </c>
      <c r="U40" s="3" t="n">
        <v>19</v>
      </c>
      <c r="V40" s="3" t="n">
        <v>20</v>
      </c>
      <c r="W40" s="3" t="n">
        <v>21</v>
      </c>
      <c r="X40" s="3" t="n">
        <v>22</v>
      </c>
      <c r="Y40" s="3" t="n">
        <v>23</v>
      </c>
      <c r="Z40" s="3" t="n">
        <v>24</v>
      </c>
      <c r="AA40" s="3" t="n">
        <v>25</v>
      </c>
    </row>
    <row r="41">
      <c r="A41" s="3" t="inlineStr">
        <is>
          <t>Debt Balance ($)</t>
        </is>
      </c>
      <c r="B41" s="6">
        <f>Inputs!C14-Inputs!C34</f>
        <v/>
      </c>
      <c r="C41" s="6">
        <f>B41-C43</f>
        <v/>
      </c>
      <c r="D41" s="6">
        <f>C41-D43</f>
        <v/>
      </c>
      <c r="E41" s="6">
        <f>D41-E43</f>
        <v/>
      </c>
      <c r="F41" s="6">
        <f>E41-F43</f>
        <v/>
      </c>
      <c r="G41" s="6">
        <f>F41-G43</f>
        <v/>
      </c>
      <c r="H41" s="6">
        <f>G41-H43</f>
        <v/>
      </c>
      <c r="I41" s="6">
        <f>H41-I43</f>
        <v/>
      </c>
      <c r="J41" s="6">
        <f>I41-J43</f>
        <v/>
      </c>
      <c r="K41" s="6">
        <f>J41-K43</f>
        <v/>
      </c>
      <c r="L41" s="6">
        <f>K41-L43</f>
        <v/>
      </c>
      <c r="M41" s="6">
        <f>L41-M43</f>
        <v/>
      </c>
      <c r="N41" s="6">
        <f>M41-N43</f>
        <v/>
      </c>
      <c r="O41" s="6">
        <f>N41-O43</f>
        <v/>
      </c>
      <c r="P41" s="6">
        <f>O41-P43</f>
        <v/>
      </c>
      <c r="Q41" s="6">
        <f>P41-Q43</f>
        <v/>
      </c>
      <c r="R41" s="6">
        <f>Q41-R43</f>
        <v/>
      </c>
      <c r="S41" s="6">
        <f>R41-S43</f>
        <v/>
      </c>
      <c r="T41" s="6">
        <f>S41-T43</f>
        <v/>
      </c>
      <c r="U41" s="6">
        <f>T41-U43</f>
        <v/>
      </c>
      <c r="V41" s="6">
        <f>U41-V43</f>
        <v/>
      </c>
      <c r="W41" s="6">
        <f>V41-W43</f>
        <v/>
      </c>
      <c r="X41" s="6">
        <f>W41-X43</f>
        <v/>
      </c>
      <c r="Y41" s="6">
        <f>X41-Y43</f>
        <v/>
      </c>
      <c r="Z41" s="6">
        <f>Y41-Z43</f>
        <v/>
      </c>
      <c r="AA41" s="6">
        <f>Z41-AA43</f>
        <v/>
      </c>
    </row>
    <row r="42">
      <c r="A42" s="3" t="inlineStr">
        <is>
          <t>Interest Payment ($)</t>
        </is>
      </c>
      <c r="B42" s="6" t="n">
        <v>0</v>
      </c>
      <c r="C42" s="6">
        <f>B41*Inputs!$C$17</f>
        <v/>
      </c>
      <c r="D42" s="6">
        <f>C41*Inputs!$C$17</f>
        <v/>
      </c>
      <c r="E42" s="6">
        <f>D41*Inputs!$C$17</f>
        <v/>
      </c>
      <c r="F42" s="6">
        <f>E41*Inputs!$C$17</f>
        <v/>
      </c>
      <c r="G42" s="6">
        <f>F41*Inputs!$C$17</f>
        <v/>
      </c>
      <c r="H42" s="6">
        <f>G41*Inputs!$C$17</f>
        <v/>
      </c>
      <c r="I42" s="6">
        <f>H41*Inputs!$C$17</f>
        <v/>
      </c>
      <c r="J42" s="6">
        <f>I41*Inputs!$C$17</f>
        <v/>
      </c>
      <c r="K42" s="6">
        <f>J41*Inputs!$C$17</f>
        <v/>
      </c>
      <c r="L42" s="6">
        <f>K41*Inputs!$C$17</f>
        <v/>
      </c>
      <c r="M42" s="6">
        <f>L41*Inputs!$C$17</f>
        <v/>
      </c>
      <c r="N42" s="6">
        <f>M41*Inputs!$C$17</f>
        <v/>
      </c>
      <c r="O42" s="6">
        <f>N41*Inputs!$C$17</f>
        <v/>
      </c>
      <c r="P42" s="6">
        <f>O41*Inputs!$C$17</f>
        <v/>
      </c>
      <c r="Q42" s="6">
        <f>P41*Inputs!$C$17</f>
        <v/>
      </c>
      <c r="R42" s="6">
        <f>Q41*Inputs!$C$17</f>
        <v/>
      </c>
      <c r="S42" s="6">
        <f>R41*Inputs!$C$17</f>
        <v/>
      </c>
      <c r="T42" s="6">
        <f>S41*Inputs!$C$17</f>
        <v/>
      </c>
      <c r="U42" s="6">
        <f>T41*Inputs!$C$17</f>
        <v/>
      </c>
      <c r="V42" s="6">
        <f>U41*Inputs!$C$17</f>
        <v/>
      </c>
      <c r="W42" s="6">
        <f>V41*Inputs!$C$17</f>
        <v/>
      </c>
      <c r="X42" s="6">
        <f>W41*Inputs!$C$17</f>
        <v/>
      </c>
      <c r="Y42" s="6">
        <f>X41*Inputs!$C$17</f>
        <v/>
      </c>
      <c r="Z42" s="6">
        <f>Y41*Inputs!$C$17</f>
        <v/>
      </c>
      <c r="AA42" s="6">
        <f>Z41*Inputs!$C$17</f>
        <v/>
      </c>
    </row>
    <row r="43">
      <c r="A43" s="3" t="inlineStr">
        <is>
          <t>Principal Payment ($)</t>
        </is>
      </c>
      <c r="B43" s="6" t="n">
        <v>0</v>
      </c>
      <c r="C43" s="6">
        <f>-PMT(Inputs!$C$17,Inputs!$C$18,$B$41)-C42</f>
        <v/>
      </c>
      <c r="D43" s="6">
        <f>-PMT(Inputs!$C$17,Inputs!$C$18,$B$41)-D42</f>
        <v/>
      </c>
      <c r="E43" s="6">
        <f>-PMT(Inputs!$C$17,Inputs!$C$18,$B$41)-E42</f>
        <v/>
      </c>
      <c r="F43" s="6">
        <f>-PMT(Inputs!$C$17,Inputs!$C$18,$B$41)-F42</f>
        <v/>
      </c>
      <c r="G43" s="6">
        <f>-PMT(Inputs!$C$17,Inputs!$C$18,$B$41)-G42</f>
        <v/>
      </c>
      <c r="H43" s="6">
        <f>-PMT(Inputs!$C$17,Inputs!$C$18,$B$41)-H42</f>
        <v/>
      </c>
      <c r="I43" s="6">
        <f>-PMT(Inputs!$C$17,Inputs!$C$18,$B$41)-I42</f>
        <v/>
      </c>
      <c r="J43" s="6">
        <f>-PMT(Inputs!$C$17,Inputs!$C$18,$B$41)-J42</f>
        <v/>
      </c>
      <c r="K43" s="6">
        <f>-PMT(Inputs!$C$17,Inputs!$C$18,$B$41)-K42</f>
        <v/>
      </c>
      <c r="L43" s="6">
        <f>-PMT(Inputs!$C$17,Inputs!$C$18,$B$41)-L42</f>
        <v/>
      </c>
      <c r="M43" s="6">
        <f>-PMT(Inputs!$C$17,Inputs!$C$18,$B$41)-M42</f>
        <v/>
      </c>
      <c r="N43" s="6">
        <f>-PMT(Inputs!$C$17,Inputs!$C$18,$B$41)-N42</f>
        <v/>
      </c>
      <c r="O43" s="6">
        <f>-PMT(Inputs!$C$17,Inputs!$C$18,$B$41)-O42</f>
        <v/>
      </c>
      <c r="P43" s="6">
        <f>-PMT(Inputs!$C$17,Inputs!$C$18,$B$41)-P42</f>
        <v/>
      </c>
      <c r="Q43" s="6">
        <f>-PMT(Inputs!$C$17,Inputs!$C$18,$B$41)-Q42</f>
        <v/>
      </c>
      <c r="R43" s="6">
        <f>-PMT(Inputs!$C$17,Inputs!$C$18,$B$41)-R42</f>
        <v/>
      </c>
      <c r="S43" s="6">
        <f>-PMT(Inputs!$C$17,Inputs!$C$18,$B$41)-S42</f>
        <v/>
      </c>
      <c r="T43" s="6">
        <f>-PMT(Inputs!$C$17,Inputs!$C$18,$B$41)-T42</f>
        <v/>
      </c>
      <c r="U43" s="6">
        <f>-PMT(Inputs!$C$17,Inputs!$C$18,$B$41)-U42</f>
        <v/>
      </c>
      <c r="V43" s="6">
        <f>-PMT(Inputs!$C$17,Inputs!$C$18,$B$41)-V42</f>
        <v/>
      </c>
      <c r="W43" s="6">
        <f>-PMT(Inputs!$C$17,Inputs!$C$18,$B$41)-W42</f>
        <v/>
      </c>
      <c r="X43" s="6">
        <f>-PMT(Inputs!$C$17,Inputs!$C$18,$B$41)-X42</f>
        <v/>
      </c>
      <c r="Y43" s="6">
        <f>-PMT(Inputs!$C$17,Inputs!$C$18,$B$41)-Y42</f>
        <v/>
      </c>
      <c r="Z43" s="6">
        <f>-PMT(Inputs!$C$17,Inputs!$C$18,$B$41)-Z42</f>
        <v/>
      </c>
      <c r="AA43" s="6">
        <f>-PMT(Inputs!$C$17,Inputs!$C$18,$B$41)-AA42</f>
        <v/>
      </c>
    </row>
    <row r="44">
      <c r="A44" s="3" t="inlineStr">
        <is>
          <t>Total P&amp;I Payment ($)</t>
        </is>
      </c>
      <c r="B44" s="6" t="n">
        <v>0</v>
      </c>
      <c r="C44" s="6">
        <f>C42+C43</f>
        <v/>
      </c>
      <c r="D44" s="6">
        <f>D42+D43</f>
        <v/>
      </c>
      <c r="E44" s="6">
        <f>E42+E43</f>
        <v/>
      </c>
      <c r="F44" s="6">
        <f>F42+F43</f>
        <v/>
      </c>
      <c r="G44" s="6">
        <f>G42+G43</f>
        <v/>
      </c>
      <c r="H44" s="6">
        <f>H42+H43</f>
        <v/>
      </c>
      <c r="I44" s="6">
        <f>I42+I43</f>
        <v/>
      </c>
      <c r="J44" s="6">
        <f>J42+J43</f>
        <v/>
      </c>
      <c r="K44" s="6">
        <f>K42+K43</f>
        <v/>
      </c>
      <c r="L44" s="6">
        <f>L42+L43</f>
        <v/>
      </c>
      <c r="M44" s="6">
        <f>M42+M43</f>
        <v/>
      </c>
      <c r="N44" s="6">
        <f>N42+N43</f>
        <v/>
      </c>
      <c r="O44" s="6">
        <f>O42+O43</f>
        <v/>
      </c>
      <c r="P44" s="6">
        <f>P42+P43</f>
        <v/>
      </c>
      <c r="Q44" s="6">
        <f>Q42+Q43</f>
        <v/>
      </c>
      <c r="R44" s="6">
        <f>R42+R43</f>
        <v/>
      </c>
      <c r="S44" s="6">
        <f>S42+S43</f>
        <v/>
      </c>
      <c r="T44" s="6">
        <f>T42+T43</f>
        <v/>
      </c>
      <c r="U44" s="6">
        <f>U42+U43</f>
        <v/>
      </c>
      <c r="V44" s="6">
        <f>V42+V43</f>
        <v/>
      </c>
      <c r="W44" s="6">
        <f>W42+W43</f>
        <v/>
      </c>
      <c r="X44" s="6">
        <f>X42+X43</f>
        <v/>
      </c>
      <c r="Y44" s="6">
        <f>Y42+Y43</f>
        <v/>
      </c>
      <c r="Z44" s="6">
        <f>Z42+Z43</f>
        <v/>
      </c>
      <c r="AA44" s="6">
        <f>AA42+AA43</f>
        <v/>
      </c>
    </row>
    <row r="45">
      <c r="A45" s="3" t="inlineStr">
        <is>
          <t>Bill w/o System ($)</t>
        </is>
      </c>
      <c r="B45" s="6" t="n">
        <v>0</v>
      </c>
      <c r="C45" s="10">
        <f>Inputs!$C$30</f>
        <v/>
      </c>
      <c r="D45" s="6">
        <f>C45*(1+Inputs!$C$20)</f>
        <v/>
      </c>
      <c r="E45" s="6">
        <f>D45*(1+Inputs!$C$20)</f>
        <v/>
      </c>
      <c r="F45" s="6">
        <f>E45*(1+Inputs!$C$20)</f>
        <v/>
      </c>
      <c r="G45" s="6">
        <f>F45*(1+Inputs!$C$20)</f>
        <v/>
      </c>
      <c r="H45" s="6">
        <f>G45*(1+Inputs!$C$20)</f>
        <v/>
      </c>
      <c r="I45" s="6">
        <f>H45*(1+Inputs!$C$20)</f>
        <v/>
      </c>
      <c r="J45" s="6">
        <f>I45*(1+Inputs!$C$20)</f>
        <v/>
      </c>
      <c r="K45" s="6">
        <f>J45*(1+Inputs!$C$20)</f>
        <v/>
      </c>
      <c r="L45" s="6">
        <f>K45*(1+Inputs!$C$20)</f>
        <v/>
      </c>
      <c r="M45" s="6">
        <f>L45*(1+Inputs!$C$20)</f>
        <v/>
      </c>
      <c r="N45" s="6">
        <f>M45*(1+Inputs!$C$20)</f>
        <v/>
      </c>
      <c r="O45" s="6">
        <f>N45*(1+Inputs!$C$20)</f>
        <v/>
      </c>
      <c r="P45" s="6">
        <f>O45*(1+Inputs!$C$20)</f>
        <v/>
      </c>
      <c r="Q45" s="6">
        <f>P45*(1+Inputs!$C$20)</f>
        <v/>
      </c>
      <c r="R45" s="6">
        <f>Q45*(1+Inputs!$C$20)</f>
        <v/>
      </c>
      <c r="S45" s="6">
        <f>R45*(1+Inputs!$C$20)</f>
        <v/>
      </c>
      <c r="T45" s="6">
        <f>S45*(1+Inputs!$C$20)</f>
        <v/>
      </c>
      <c r="U45" s="6">
        <f>T45*(1+Inputs!$C$20)</f>
        <v/>
      </c>
      <c r="V45" s="6">
        <f>U45*(1+Inputs!$C$20)</f>
        <v/>
      </c>
      <c r="W45" s="6">
        <f>V45*(1+Inputs!$C$20)</f>
        <v/>
      </c>
      <c r="X45" s="6">
        <f>W45*(1+Inputs!$C$20)</f>
        <v/>
      </c>
      <c r="Y45" s="6">
        <f>X45*(1+Inputs!$C$20)</f>
        <v/>
      </c>
      <c r="Z45" s="6">
        <f>Y45*(1+Inputs!$C$20)</f>
        <v/>
      </c>
      <c r="AA45" s="6">
        <f>Z45*(1+Inputs!$C$20)</f>
        <v/>
      </c>
    </row>
    <row r="46">
      <c r="A46" s="3" t="inlineStr">
        <is>
          <t>Bill w/ System ($)</t>
        </is>
      </c>
      <c r="B46" s="6" t="n">
        <v>0</v>
      </c>
      <c r="C46" s="10">
        <f>C45-Inputs!$D$45</f>
        <v/>
      </c>
      <c r="D46" s="6">
        <f>D45-Inputs!$D$45*(1+Inputs!$C$20)^(2-1)</f>
        <v/>
      </c>
      <c r="E46" s="6">
        <f>E45-Inputs!$D$45*(1+Inputs!$C$20)^(3-1)</f>
        <v/>
      </c>
      <c r="F46" s="6">
        <f>F45-Inputs!$D$45*(1+Inputs!$C$20)^(4-1)</f>
        <v/>
      </c>
      <c r="G46" s="6">
        <f>G45-Inputs!$D$45*(1+Inputs!$C$20)^(5-1)</f>
        <v/>
      </c>
      <c r="H46" s="6">
        <f>H45-Inputs!$D$45*(1+Inputs!$C$20)^(6-1)</f>
        <v/>
      </c>
      <c r="I46" s="6">
        <f>I45-Inputs!$D$45*(1+Inputs!$C$20)^(7-1)</f>
        <v/>
      </c>
      <c r="J46" s="6">
        <f>J45-Inputs!$D$45*(1+Inputs!$C$20)^(8-1)</f>
        <v/>
      </c>
      <c r="K46" s="6">
        <f>K45-Inputs!$D$45*(1+Inputs!$C$20)^(9-1)</f>
        <v/>
      </c>
      <c r="L46" s="6">
        <f>L45-Inputs!$D$45*(1+Inputs!$C$20)^(10-1)</f>
        <v/>
      </c>
      <c r="M46" s="6">
        <f>M45-Inputs!$D$45*(1+Inputs!$C$20)^(11-1)</f>
        <v/>
      </c>
      <c r="N46" s="6">
        <f>N45-Inputs!$D$45*(1+Inputs!$C$20)^(12-1)</f>
        <v/>
      </c>
      <c r="O46" s="6">
        <f>O45-Inputs!$D$45*(1+Inputs!$C$20)^(13-1)</f>
        <v/>
      </c>
      <c r="P46" s="6">
        <f>P45-Inputs!$D$45*(1+Inputs!$C$20)^(14-1)</f>
        <v/>
      </c>
      <c r="Q46" s="6">
        <f>Q45-Inputs!$D$45*(1+Inputs!$C$20)^(15-1)</f>
        <v/>
      </c>
      <c r="R46" s="6">
        <f>R45-Inputs!$D$45*(1+Inputs!$C$20)^(16-1)</f>
        <v/>
      </c>
      <c r="S46" s="6">
        <f>S45-Inputs!$D$45*(1+Inputs!$C$20)^(17-1)</f>
        <v/>
      </c>
      <c r="T46" s="6">
        <f>T45-Inputs!$D$45*(1+Inputs!$C$20)^(18-1)</f>
        <v/>
      </c>
      <c r="U46" s="6">
        <f>U45-Inputs!$D$45*(1+Inputs!$C$20)^(19-1)</f>
        <v/>
      </c>
      <c r="V46" s="6">
        <f>V45-Inputs!$D$45*(1+Inputs!$C$20)^(20-1)</f>
        <v/>
      </c>
      <c r="W46" s="6">
        <f>W45-Inputs!$D$45*(1+Inputs!$C$20)^(21-1)</f>
        <v/>
      </c>
      <c r="X46" s="6">
        <f>X45-Inputs!$D$45*(1+Inputs!$C$20)^(22-1)</f>
        <v/>
      </c>
      <c r="Y46" s="6">
        <f>Y45-Inputs!$D$45*(1+Inputs!$C$20)^(23-1)</f>
        <v/>
      </c>
      <c r="Z46" s="6">
        <f>Z45-Inputs!$D$45*(1+Inputs!$C$20)^(24-1)</f>
        <v/>
      </c>
      <c r="AA46" s="6">
        <f>AA45-Inputs!$D$45*(1+Inputs!$C$20)^(25-1)</f>
        <v/>
      </c>
    </row>
    <row r="47">
      <c r="A47" s="3" t="inlineStr">
        <is>
          <t>Bill Savings ($)</t>
        </is>
      </c>
      <c r="B47" s="6" t="n">
        <v>0</v>
      </c>
      <c r="C47" s="6">
        <f>C45-C46</f>
        <v/>
      </c>
      <c r="D47" s="6">
        <f>D45-D46</f>
        <v/>
      </c>
      <c r="E47" s="6">
        <f>E45-E46</f>
        <v/>
      </c>
      <c r="F47" s="6">
        <f>F45-F46</f>
        <v/>
      </c>
      <c r="G47" s="6">
        <f>G45-G46</f>
        <v/>
      </c>
      <c r="H47" s="6">
        <f>H45-H46</f>
        <v/>
      </c>
      <c r="I47" s="6">
        <f>I45-I46</f>
        <v/>
      </c>
      <c r="J47" s="6">
        <f>J45-J46</f>
        <v/>
      </c>
      <c r="K47" s="6">
        <f>K45-K46</f>
        <v/>
      </c>
      <c r="L47" s="6">
        <f>L45-L46</f>
        <v/>
      </c>
      <c r="M47" s="6">
        <f>M45-M46</f>
        <v/>
      </c>
      <c r="N47" s="6">
        <f>N45-N46</f>
        <v/>
      </c>
      <c r="O47" s="6">
        <f>O45-O46</f>
        <v/>
      </c>
      <c r="P47" s="6">
        <f>P45-P46</f>
        <v/>
      </c>
      <c r="Q47" s="6">
        <f>Q45-Q46</f>
        <v/>
      </c>
      <c r="R47" s="6">
        <f>R45-R46</f>
        <v/>
      </c>
      <c r="S47" s="6">
        <f>S45-S46</f>
        <v/>
      </c>
      <c r="T47" s="6">
        <f>T45-T46</f>
        <v/>
      </c>
      <c r="U47" s="6">
        <f>U45-U46</f>
        <v/>
      </c>
      <c r="V47" s="6">
        <f>V45-V46</f>
        <v/>
      </c>
      <c r="W47" s="6">
        <f>W45-W46</f>
        <v/>
      </c>
      <c r="X47" s="6">
        <f>X45-X46</f>
        <v/>
      </c>
      <c r="Y47" s="6">
        <f>Y45-Y46</f>
        <v/>
      </c>
      <c r="Z47" s="6">
        <f>Z45-Z46</f>
        <v/>
      </c>
      <c r="AA47" s="6">
        <f>AA45-AA46</f>
        <v/>
      </c>
    </row>
    <row r="48">
      <c r="A48" s="3" t="inlineStr">
        <is>
          <t>Incentive Annual ($)</t>
        </is>
      </c>
      <c r="B48" s="6" t="n">
        <v>0</v>
      </c>
      <c r="C48" s="10">
        <f>IF(1&lt;=Inputs!$C$38,Inputs!$C$36,0)+Inputs!$C$37</f>
        <v/>
      </c>
      <c r="D48" s="10">
        <f>IF(2&lt;=Inputs!$C$38,Inputs!$C$36,0)+Inputs!$C$37</f>
        <v/>
      </c>
      <c r="E48" s="10">
        <f>IF(3&lt;=Inputs!$C$38,Inputs!$C$36,0)+Inputs!$C$37</f>
        <v/>
      </c>
      <c r="F48" s="10">
        <f>IF(4&lt;=Inputs!$C$38,Inputs!$C$36,0)+Inputs!$C$37</f>
        <v/>
      </c>
      <c r="G48" s="10">
        <f>IF(5&lt;=Inputs!$C$38,Inputs!$C$36,0)+Inputs!$C$37</f>
        <v/>
      </c>
      <c r="H48" s="10">
        <f>IF(6&lt;=Inputs!$C$38,Inputs!$C$36,0)+Inputs!$C$37</f>
        <v/>
      </c>
      <c r="I48" s="10">
        <f>IF(7&lt;=Inputs!$C$38,Inputs!$C$36,0)+Inputs!$C$37</f>
        <v/>
      </c>
      <c r="J48" s="10">
        <f>IF(8&lt;=Inputs!$C$38,Inputs!$C$36,0)+Inputs!$C$37</f>
        <v/>
      </c>
      <c r="K48" s="10">
        <f>IF(9&lt;=Inputs!$C$38,Inputs!$C$36,0)+Inputs!$C$37</f>
        <v/>
      </c>
      <c r="L48" s="10">
        <f>IF(10&lt;=Inputs!$C$38,Inputs!$C$36,0)+Inputs!$C$37</f>
        <v/>
      </c>
      <c r="M48" s="10">
        <f>IF(11&lt;=Inputs!$C$38,Inputs!$C$36,0)+Inputs!$C$37</f>
        <v/>
      </c>
      <c r="N48" s="10">
        <f>IF(12&lt;=Inputs!$C$38,Inputs!$C$36,0)+Inputs!$C$37</f>
        <v/>
      </c>
      <c r="O48" s="10">
        <f>IF(13&lt;=Inputs!$C$38,Inputs!$C$36,0)+Inputs!$C$37</f>
        <v/>
      </c>
      <c r="P48" s="10">
        <f>IF(14&lt;=Inputs!$C$38,Inputs!$C$36,0)+Inputs!$C$37</f>
        <v/>
      </c>
      <c r="Q48" s="10">
        <f>IF(15&lt;=Inputs!$C$38,Inputs!$C$36,0)+Inputs!$C$37</f>
        <v/>
      </c>
      <c r="R48" s="10">
        <f>IF(16&lt;=Inputs!$C$38,Inputs!$C$36,0)+Inputs!$C$37</f>
        <v/>
      </c>
      <c r="S48" s="10">
        <f>IF(17&lt;=Inputs!$C$38,Inputs!$C$36,0)+Inputs!$C$37</f>
        <v/>
      </c>
      <c r="T48" s="10">
        <f>IF(18&lt;=Inputs!$C$38,Inputs!$C$36,0)+Inputs!$C$37</f>
        <v/>
      </c>
      <c r="U48" s="10">
        <f>IF(19&lt;=Inputs!$C$38,Inputs!$C$36,0)+Inputs!$C$37</f>
        <v/>
      </c>
      <c r="V48" s="10">
        <f>IF(20&lt;=Inputs!$C$38,Inputs!$C$36,0)+Inputs!$C$37</f>
        <v/>
      </c>
      <c r="W48" s="10">
        <f>IF(21&lt;=Inputs!$C$38,Inputs!$C$36,0)+Inputs!$C$37</f>
        <v/>
      </c>
      <c r="X48" s="10">
        <f>IF(22&lt;=Inputs!$C$38,Inputs!$C$36,0)+Inputs!$C$37</f>
        <v/>
      </c>
      <c r="Y48" s="10">
        <f>IF(23&lt;=Inputs!$C$38,Inputs!$C$36,0)+Inputs!$C$37</f>
        <v/>
      </c>
      <c r="Z48" s="10">
        <f>IF(24&lt;=Inputs!$C$38,Inputs!$C$36,0)+Inputs!$C$37</f>
        <v/>
      </c>
      <c r="AA48" s="10">
        <f>IF(25&lt;=Inputs!$C$38,Inputs!$C$36,0)+Inputs!$C$37</f>
        <v/>
      </c>
    </row>
    <row r="49">
      <c r="A49" s="3" t="inlineStr">
        <is>
          <t>Total Savings ($)</t>
        </is>
      </c>
      <c r="B49" s="6" t="n">
        <v>0</v>
      </c>
      <c r="C49" s="6">
        <f>C47+C48</f>
        <v/>
      </c>
      <c r="D49" s="6">
        <f>D47+D48</f>
        <v/>
      </c>
      <c r="E49" s="6">
        <f>E47+E48</f>
        <v/>
      </c>
      <c r="F49" s="6">
        <f>F47+F48</f>
        <v/>
      </c>
      <c r="G49" s="6">
        <f>G47+G48</f>
        <v/>
      </c>
      <c r="H49" s="6">
        <f>H47+H48</f>
        <v/>
      </c>
      <c r="I49" s="6">
        <f>I47+I48</f>
        <v/>
      </c>
      <c r="J49" s="6">
        <f>J47+J48</f>
        <v/>
      </c>
      <c r="K49" s="6">
        <f>K47+K48</f>
        <v/>
      </c>
      <c r="L49" s="6">
        <f>L47+L48</f>
        <v/>
      </c>
      <c r="M49" s="6">
        <f>M47+M48</f>
        <v/>
      </c>
      <c r="N49" s="6">
        <f>N47+N48</f>
        <v/>
      </c>
      <c r="O49" s="6">
        <f>O47+O48</f>
        <v/>
      </c>
      <c r="P49" s="6">
        <f>P47+P48</f>
        <v/>
      </c>
      <c r="Q49" s="6">
        <f>Q47+Q48</f>
        <v/>
      </c>
      <c r="R49" s="6">
        <f>R47+R48</f>
        <v/>
      </c>
      <c r="S49" s="6">
        <f>S47+S48</f>
        <v/>
      </c>
      <c r="T49" s="6">
        <f>T47+T48</f>
        <v/>
      </c>
      <c r="U49" s="6">
        <f>U47+U48</f>
        <v/>
      </c>
      <c r="V49" s="6">
        <f>V47+V48</f>
        <v/>
      </c>
      <c r="W49" s="6">
        <f>W47+W48</f>
        <v/>
      </c>
      <c r="X49" s="6">
        <f>X47+X48</f>
        <v/>
      </c>
      <c r="Y49" s="6">
        <f>Y47+Y48</f>
        <v/>
      </c>
      <c r="Z49" s="6">
        <f>Z47+Z48</f>
        <v/>
      </c>
      <c r="AA49" s="6">
        <f>AA47+AA48</f>
        <v/>
      </c>
    </row>
    <row r="50">
      <c r="A50" s="3" t="inlineStr">
        <is>
          <t>Net Savings ($)</t>
        </is>
      </c>
      <c r="B50" s="6" t="n">
        <v>0</v>
      </c>
      <c r="C50" s="6">
        <f>C49-C44</f>
        <v/>
      </c>
      <c r="D50" s="6">
        <f>D49-D44</f>
        <v/>
      </c>
      <c r="E50" s="6">
        <f>E49-E44</f>
        <v/>
      </c>
      <c r="F50" s="6">
        <f>F49-F44</f>
        <v/>
      </c>
      <c r="G50" s="6">
        <f>G49-G44</f>
        <v/>
      </c>
      <c r="H50" s="6">
        <f>H49-H44</f>
        <v/>
      </c>
      <c r="I50" s="6">
        <f>I49-I44</f>
        <v/>
      </c>
      <c r="J50" s="6">
        <f>J49-J44</f>
        <v/>
      </c>
      <c r="K50" s="6">
        <f>K49-K44</f>
        <v/>
      </c>
      <c r="L50" s="6">
        <f>L49-L44</f>
        <v/>
      </c>
      <c r="M50" s="6">
        <f>M49-M44</f>
        <v/>
      </c>
      <c r="N50" s="6">
        <f>N49-N44</f>
        <v/>
      </c>
      <c r="O50" s="6">
        <f>O49-O44</f>
        <v/>
      </c>
      <c r="P50" s="6">
        <f>P49-P44</f>
        <v/>
      </c>
      <c r="Q50" s="6">
        <f>Q49-Q44</f>
        <v/>
      </c>
      <c r="R50" s="6">
        <f>R49-R44</f>
        <v/>
      </c>
      <c r="S50" s="6">
        <f>S49-S44</f>
        <v/>
      </c>
      <c r="T50" s="6">
        <f>T49-T44</f>
        <v/>
      </c>
      <c r="U50" s="6">
        <f>U49-U44</f>
        <v/>
      </c>
      <c r="V50" s="6">
        <f>V49-V44</f>
        <v/>
      </c>
      <c r="W50" s="6">
        <f>W49-W44</f>
        <v/>
      </c>
      <c r="X50" s="6">
        <f>X49-X44</f>
        <v/>
      </c>
      <c r="Y50" s="6">
        <f>Y49-Y44</f>
        <v/>
      </c>
      <c r="Z50" s="6">
        <f>Z49-Z44</f>
        <v/>
      </c>
      <c r="AA50" s="6">
        <f>AA49-AA44</f>
        <v/>
      </c>
    </row>
    <row r="51">
      <c r="A51" s="3" t="inlineStr">
        <is>
          <t>Cumulative NPV ($)</t>
        </is>
      </c>
      <c r="B51" s="6" t="n">
        <v>0</v>
      </c>
      <c r="C51" s="6">
        <f>C50/(1+Inputs!$C$19)^1</f>
        <v/>
      </c>
      <c r="D51" s="6">
        <f>C51+D50/(1+Inputs!$C$19)^2</f>
        <v/>
      </c>
      <c r="E51" s="6">
        <f>D51+E50/(1+Inputs!$C$19)^3</f>
        <v/>
      </c>
      <c r="F51" s="6">
        <f>E51+F50/(1+Inputs!$C$19)^4</f>
        <v/>
      </c>
      <c r="G51" s="6">
        <f>F51+G50/(1+Inputs!$C$19)^5</f>
        <v/>
      </c>
      <c r="H51" s="6">
        <f>G51+H50/(1+Inputs!$C$19)^6</f>
        <v/>
      </c>
      <c r="I51" s="6">
        <f>H51+I50/(1+Inputs!$C$19)^7</f>
        <v/>
      </c>
      <c r="J51" s="6">
        <f>I51+J50/(1+Inputs!$C$19)^8</f>
        <v/>
      </c>
      <c r="K51" s="6">
        <f>J51+K50/(1+Inputs!$C$19)^9</f>
        <v/>
      </c>
      <c r="L51" s="6">
        <f>K51+L50/(1+Inputs!$C$19)^10</f>
        <v/>
      </c>
      <c r="M51" s="6">
        <f>L51+M50/(1+Inputs!$C$19)^11</f>
        <v/>
      </c>
      <c r="N51" s="6">
        <f>M51+N50/(1+Inputs!$C$19)^12</f>
        <v/>
      </c>
      <c r="O51" s="6">
        <f>N51+O50/(1+Inputs!$C$19)^13</f>
        <v/>
      </c>
      <c r="P51" s="6">
        <f>O51+P50/(1+Inputs!$C$19)^14</f>
        <v/>
      </c>
      <c r="Q51" s="6">
        <f>P51+Q50/(1+Inputs!$C$19)^15</f>
        <v/>
      </c>
      <c r="R51" s="6">
        <f>Q51+R50/(1+Inputs!$C$19)^16</f>
        <v/>
      </c>
      <c r="S51" s="6">
        <f>R51+S50/(1+Inputs!$C$19)^17</f>
        <v/>
      </c>
      <c r="T51" s="6">
        <f>S51+T50/(1+Inputs!$C$19)^18</f>
        <v/>
      </c>
      <c r="U51" s="6">
        <f>T51+U50/(1+Inputs!$C$19)^19</f>
        <v/>
      </c>
      <c r="V51" s="6">
        <f>U51+V50/(1+Inputs!$C$19)^20</f>
        <v/>
      </c>
      <c r="W51" s="6">
        <f>V51+W50/(1+Inputs!$C$19)^21</f>
        <v/>
      </c>
      <c r="X51" s="6">
        <f>W51+X50/(1+Inputs!$C$19)^22</f>
        <v/>
      </c>
      <c r="Y51" s="6">
        <f>X51+Y50/(1+Inputs!$C$19)^23</f>
        <v/>
      </c>
      <c r="Z51" s="6">
        <f>Y51+Z50/(1+Inputs!$C$19)^24</f>
        <v/>
      </c>
      <c r="AA51" s="6">
        <f>Z51+AA50/(1+Inputs!$C$19)^25</f>
        <v/>
      </c>
    </row>
    <row r="52">
      <c r="A52" s="11" t="inlineStr">
        <is>
          <t>Simple Payback (yr)</t>
        </is>
      </c>
      <c r="B52" s="12">
        <f>IF((C47+C48)&gt;0,B41/(C47+C48),"N/A")</f>
        <v/>
      </c>
    </row>
    <row r="53">
      <c r="A53" s="11" t="inlineStr">
        <is>
          <t>NPV Breakeven Year</t>
        </is>
      </c>
      <c r="B53" s="5" t="inlineStr">
        <is>
          <t>See Cumulative NPV row 51 for first year ≥ 0</t>
        </is>
      </c>
    </row>
    <row r="54"/>
    <row r="55"/>
    <row r="56">
      <c r="A56" s="8" t="inlineStr">
        <is>
          <t>PV+Storage — No Incentives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</row>
    <row r="57">
      <c r="A57" s="2" t="inlineStr">
        <is>
          <t>Year</t>
        </is>
      </c>
      <c r="B57" s="3" t="n">
        <v>0</v>
      </c>
      <c r="C57" s="3" t="n">
        <v>1</v>
      </c>
      <c r="D57" s="3" t="n">
        <v>2</v>
      </c>
      <c r="E57" s="3" t="n">
        <v>3</v>
      </c>
      <c r="F57" s="3" t="n">
        <v>4</v>
      </c>
      <c r="G57" s="3" t="n">
        <v>5</v>
      </c>
      <c r="H57" s="3" t="n">
        <v>6</v>
      </c>
      <c r="I57" s="3" t="n">
        <v>7</v>
      </c>
      <c r="J57" s="3" t="n">
        <v>8</v>
      </c>
      <c r="K57" s="3" t="n">
        <v>9</v>
      </c>
      <c r="L57" s="3" t="n">
        <v>10</v>
      </c>
      <c r="M57" s="3" t="n">
        <v>11</v>
      </c>
      <c r="N57" s="3" t="n">
        <v>12</v>
      </c>
      <c r="O57" s="3" t="n">
        <v>13</v>
      </c>
      <c r="P57" s="3" t="n">
        <v>14</v>
      </c>
      <c r="Q57" s="3" t="n">
        <v>15</v>
      </c>
      <c r="R57" s="3" t="n">
        <v>16</v>
      </c>
      <c r="S57" s="3" t="n">
        <v>17</v>
      </c>
      <c r="T57" s="3" t="n">
        <v>18</v>
      </c>
      <c r="U57" s="3" t="n">
        <v>19</v>
      </c>
      <c r="V57" s="3" t="n">
        <v>20</v>
      </c>
      <c r="W57" s="3" t="n">
        <v>21</v>
      </c>
      <c r="X57" s="3" t="n">
        <v>22</v>
      </c>
      <c r="Y57" s="3" t="n">
        <v>23</v>
      </c>
      <c r="Z57" s="3" t="n">
        <v>24</v>
      </c>
      <c r="AA57" s="3" t="n">
        <v>25</v>
      </c>
    </row>
    <row r="58">
      <c r="A58" s="3" t="inlineStr">
        <is>
          <t>Debt Balance ($)</t>
        </is>
      </c>
      <c r="B58" s="6">
        <f>Inputs!C14</f>
        <v/>
      </c>
      <c r="C58" s="6">
        <f>B58-C60</f>
        <v/>
      </c>
      <c r="D58" s="6">
        <f>C58-D60</f>
        <v/>
      </c>
      <c r="E58" s="6">
        <f>D58-E60</f>
        <v/>
      </c>
      <c r="F58" s="6">
        <f>E58-F60</f>
        <v/>
      </c>
      <c r="G58" s="6">
        <f>F58-G60</f>
        <v/>
      </c>
      <c r="H58" s="6">
        <f>G58-H60</f>
        <v/>
      </c>
      <c r="I58" s="6">
        <f>H58-I60</f>
        <v/>
      </c>
      <c r="J58" s="6">
        <f>I58-J60</f>
        <v/>
      </c>
      <c r="K58" s="6">
        <f>J58-K60</f>
        <v/>
      </c>
      <c r="L58" s="6">
        <f>K58-L60</f>
        <v/>
      </c>
      <c r="M58" s="6">
        <f>L58-M60</f>
        <v/>
      </c>
      <c r="N58" s="6">
        <f>M58-N60</f>
        <v/>
      </c>
      <c r="O58" s="6">
        <f>N58-O60</f>
        <v/>
      </c>
      <c r="P58" s="6">
        <f>O58-P60</f>
        <v/>
      </c>
      <c r="Q58" s="6">
        <f>P58-Q60</f>
        <v/>
      </c>
      <c r="R58" s="6">
        <f>Q58-R60</f>
        <v/>
      </c>
      <c r="S58" s="6">
        <f>R58-S60</f>
        <v/>
      </c>
      <c r="T58" s="6">
        <f>S58-T60</f>
        <v/>
      </c>
      <c r="U58" s="6">
        <f>T58-U60</f>
        <v/>
      </c>
      <c r="V58" s="6">
        <f>U58-V60</f>
        <v/>
      </c>
      <c r="W58" s="6">
        <f>V58-W60</f>
        <v/>
      </c>
      <c r="X58" s="6">
        <f>W58-X60</f>
        <v/>
      </c>
      <c r="Y58" s="6">
        <f>X58-Y60</f>
        <v/>
      </c>
      <c r="Z58" s="6">
        <f>Y58-Z60</f>
        <v/>
      </c>
      <c r="AA58" s="6">
        <f>Z58-AA60</f>
        <v/>
      </c>
    </row>
    <row r="59">
      <c r="A59" s="3" t="inlineStr">
        <is>
          <t>Interest Payment ($)</t>
        </is>
      </c>
      <c r="B59" s="6" t="n">
        <v>0</v>
      </c>
      <c r="C59" s="6">
        <f>B58*Inputs!$C$17</f>
        <v/>
      </c>
      <c r="D59" s="6">
        <f>C58*Inputs!$C$17</f>
        <v/>
      </c>
      <c r="E59" s="6">
        <f>D58*Inputs!$C$17</f>
        <v/>
      </c>
      <c r="F59" s="6">
        <f>E58*Inputs!$C$17</f>
        <v/>
      </c>
      <c r="G59" s="6">
        <f>F58*Inputs!$C$17</f>
        <v/>
      </c>
      <c r="H59" s="6">
        <f>G58*Inputs!$C$17</f>
        <v/>
      </c>
      <c r="I59" s="6">
        <f>H58*Inputs!$C$17</f>
        <v/>
      </c>
      <c r="J59" s="6">
        <f>I58*Inputs!$C$17</f>
        <v/>
      </c>
      <c r="K59" s="6">
        <f>J58*Inputs!$C$17</f>
        <v/>
      </c>
      <c r="L59" s="6">
        <f>K58*Inputs!$C$17</f>
        <v/>
      </c>
      <c r="M59" s="6">
        <f>L58*Inputs!$C$17</f>
        <v/>
      </c>
      <c r="N59" s="6">
        <f>M58*Inputs!$C$17</f>
        <v/>
      </c>
      <c r="O59" s="6">
        <f>N58*Inputs!$C$17</f>
        <v/>
      </c>
      <c r="P59" s="6">
        <f>O58*Inputs!$C$17</f>
        <v/>
      </c>
      <c r="Q59" s="6">
        <f>P58*Inputs!$C$17</f>
        <v/>
      </c>
      <c r="R59" s="6">
        <f>Q58*Inputs!$C$17</f>
        <v/>
      </c>
      <c r="S59" s="6">
        <f>R58*Inputs!$C$17</f>
        <v/>
      </c>
      <c r="T59" s="6">
        <f>S58*Inputs!$C$17</f>
        <v/>
      </c>
      <c r="U59" s="6">
        <f>T58*Inputs!$C$17</f>
        <v/>
      </c>
      <c r="V59" s="6">
        <f>U58*Inputs!$C$17</f>
        <v/>
      </c>
      <c r="W59" s="6">
        <f>V58*Inputs!$C$17</f>
        <v/>
      </c>
      <c r="X59" s="6">
        <f>W58*Inputs!$C$17</f>
        <v/>
      </c>
      <c r="Y59" s="6">
        <f>X58*Inputs!$C$17</f>
        <v/>
      </c>
      <c r="Z59" s="6">
        <f>Y58*Inputs!$C$17</f>
        <v/>
      </c>
      <c r="AA59" s="6">
        <f>Z58*Inputs!$C$17</f>
        <v/>
      </c>
    </row>
    <row r="60">
      <c r="A60" s="3" t="inlineStr">
        <is>
          <t>Principal Payment ($)</t>
        </is>
      </c>
      <c r="B60" s="6" t="n">
        <v>0</v>
      </c>
      <c r="C60" s="6">
        <f>-PMT(Inputs!$C$17,Inputs!$C$18,$B$58)-C59</f>
        <v/>
      </c>
      <c r="D60" s="6">
        <f>-PMT(Inputs!$C$17,Inputs!$C$18,$B$58)-D59</f>
        <v/>
      </c>
      <c r="E60" s="6">
        <f>-PMT(Inputs!$C$17,Inputs!$C$18,$B$58)-E59</f>
        <v/>
      </c>
      <c r="F60" s="6">
        <f>-PMT(Inputs!$C$17,Inputs!$C$18,$B$58)-F59</f>
        <v/>
      </c>
      <c r="G60" s="6">
        <f>-PMT(Inputs!$C$17,Inputs!$C$18,$B$58)-G59</f>
        <v/>
      </c>
      <c r="H60" s="6">
        <f>-PMT(Inputs!$C$17,Inputs!$C$18,$B$58)-H59</f>
        <v/>
      </c>
      <c r="I60" s="6">
        <f>-PMT(Inputs!$C$17,Inputs!$C$18,$B$58)-I59</f>
        <v/>
      </c>
      <c r="J60" s="6">
        <f>-PMT(Inputs!$C$17,Inputs!$C$18,$B$58)-J59</f>
        <v/>
      </c>
      <c r="K60" s="6">
        <f>-PMT(Inputs!$C$17,Inputs!$C$18,$B$58)-K59</f>
        <v/>
      </c>
      <c r="L60" s="6">
        <f>-PMT(Inputs!$C$17,Inputs!$C$18,$B$58)-L59</f>
        <v/>
      </c>
      <c r="M60" s="6">
        <f>-PMT(Inputs!$C$17,Inputs!$C$18,$B$58)-M59</f>
        <v/>
      </c>
      <c r="N60" s="6">
        <f>-PMT(Inputs!$C$17,Inputs!$C$18,$B$58)-N59</f>
        <v/>
      </c>
      <c r="O60" s="6">
        <f>-PMT(Inputs!$C$17,Inputs!$C$18,$B$58)-O59</f>
        <v/>
      </c>
      <c r="P60" s="6">
        <f>-PMT(Inputs!$C$17,Inputs!$C$18,$B$58)-P59</f>
        <v/>
      </c>
      <c r="Q60" s="6">
        <f>-PMT(Inputs!$C$17,Inputs!$C$18,$B$58)-Q59</f>
        <v/>
      </c>
      <c r="R60" s="6">
        <f>-PMT(Inputs!$C$17,Inputs!$C$18,$B$58)-R59</f>
        <v/>
      </c>
      <c r="S60" s="6">
        <f>-PMT(Inputs!$C$17,Inputs!$C$18,$B$58)-S59</f>
        <v/>
      </c>
      <c r="T60" s="6">
        <f>-PMT(Inputs!$C$17,Inputs!$C$18,$B$58)-T59</f>
        <v/>
      </c>
      <c r="U60" s="6">
        <f>-PMT(Inputs!$C$17,Inputs!$C$18,$B$58)-U59</f>
        <v/>
      </c>
      <c r="V60" s="6">
        <f>-PMT(Inputs!$C$17,Inputs!$C$18,$B$58)-V59</f>
        <v/>
      </c>
      <c r="W60" s="6">
        <f>-PMT(Inputs!$C$17,Inputs!$C$18,$B$58)-W59</f>
        <v/>
      </c>
      <c r="X60" s="6">
        <f>-PMT(Inputs!$C$17,Inputs!$C$18,$B$58)-X59</f>
        <v/>
      </c>
      <c r="Y60" s="6">
        <f>-PMT(Inputs!$C$17,Inputs!$C$18,$B$58)-Y59</f>
        <v/>
      </c>
      <c r="Z60" s="6">
        <f>-PMT(Inputs!$C$17,Inputs!$C$18,$B$58)-Z59</f>
        <v/>
      </c>
      <c r="AA60" s="6">
        <f>-PMT(Inputs!$C$17,Inputs!$C$18,$B$58)-AA59</f>
        <v/>
      </c>
    </row>
    <row r="61">
      <c r="A61" s="3" t="inlineStr">
        <is>
          <t>Total P&amp;I Payment ($)</t>
        </is>
      </c>
      <c r="B61" s="6" t="n">
        <v>0</v>
      </c>
      <c r="C61" s="6">
        <f>C59+C60</f>
        <v/>
      </c>
      <c r="D61" s="6">
        <f>D59+D60</f>
        <v/>
      </c>
      <c r="E61" s="6">
        <f>E59+E60</f>
        <v/>
      </c>
      <c r="F61" s="6">
        <f>F59+F60</f>
        <v/>
      </c>
      <c r="G61" s="6">
        <f>G59+G60</f>
        <v/>
      </c>
      <c r="H61" s="6">
        <f>H59+H60</f>
        <v/>
      </c>
      <c r="I61" s="6">
        <f>I59+I60</f>
        <v/>
      </c>
      <c r="J61" s="6">
        <f>J59+J60</f>
        <v/>
      </c>
      <c r="K61" s="6">
        <f>K59+K60</f>
        <v/>
      </c>
      <c r="L61" s="6">
        <f>L59+L60</f>
        <v/>
      </c>
      <c r="M61" s="6">
        <f>M59+M60</f>
        <v/>
      </c>
      <c r="N61" s="6">
        <f>N59+N60</f>
        <v/>
      </c>
      <c r="O61" s="6">
        <f>O59+O60</f>
        <v/>
      </c>
      <c r="P61" s="6">
        <f>P59+P60</f>
        <v/>
      </c>
      <c r="Q61" s="6">
        <f>Q59+Q60</f>
        <v/>
      </c>
      <c r="R61" s="6">
        <f>R59+R60</f>
        <v/>
      </c>
      <c r="S61" s="6">
        <f>S59+S60</f>
        <v/>
      </c>
      <c r="T61" s="6">
        <f>T59+T60</f>
        <v/>
      </c>
      <c r="U61" s="6">
        <f>U59+U60</f>
        <v/>
      </c>
      <c r="V61" s="6">
        <f>V59+V60</f>
        <v/>
      </c>
      <c r="W61" s="6">
        <f>W59+W60</f>
        <v/>
      </c>
      <c r="X61" s="6">
        <f>X59+X60</f>
        <v/>
      </c>
      <c r="Y61" s="6">
        <f>Y59+Y60</f>
        <v/>
      </c>
      <c r="Z61" s="6">
        <f>Z59+Z60</f>
        <v/>
      </c>
      <c r="AA61" s="6">
        <f>AA59+AA60</f>
        <v/>
      </c>
    </row>
    <row r="62">
      <c r="A62" s="3" t="inlineStr">
        <is>
          <t>Bill w/o System ($)</t>
        </is>
      </c>
      <c r="B62" s="6" t="n">
        <v>0</v>
      </c>
      <c r="C62" s="10">
        <f>Inputs!$C$30</f>
        <v/>
      </c>
      <c r="D62" s="6">
        <f>C62*(1+Inputs!$C$20)</f>
        <v/>
      </c>
      <c r="E62" s="6">
        <f>D62*(1+Inputs!$C$20)</f>
        <v/>
      </c>
      <c r="F62" s="6">
        <f>E62*(1+Inputs!$C$20)</f>
        <v/>
      </c>
      <c r="G62" s="6">
        <f>F62*(1+Inputs!$C$20)</f>
        <v/>
      </c>
      <c r="H62" s="6">
        <f>G62*(1+Inputs!$C$20)</f>
        <v/>
      </c>
      <c r="I62" s="6">
        <f>H62*(1+Inputs!$C$20)</f>
        <v/>
      </c>
      <c r="J62" s="6">
        <f>I62*(1+Inputs!$C$20)</f>
        <v/>
      </c>
      <c r="K62" s="6">
        <f>J62*(1+Inputs!$C$20)</f>
        <v/>
      </c>
      <c r="L62" s="6">
        <f>K62*(1+Inputs!$C$20)</f>
        <v/>
      </c>
      <c r="M62" s="6">
        <f>L62*(1+Inputs!$C$20)</f>
        <v/>
      </c>
      <c r="N62" s="6">
        <f>M62*(1+Inputs!$C$20)</f>
        <v/>
      </c>
      <c r="O62" s="6">
        <f>N62*(1+Inputs!$C$20)</f>
        <v/>
      </c>
      <c r="P62" s="6">
        <f>O62*(1+Inputs!$C$20)</f>
        <v/>
      </c>
      <c r="Q62" s="6">
        <f>P62*(1+Inputs!$C$20)</f>
        <v/>
      </c>
      <c r="R62" s="6">
        <f>Q62*(1+Inputs!$C$20)</f>
        <v/>
      </c>
      <c r="S62" s="6">
        <f>R62*(1+Inputs!$C$20)</f>
        <v/>
      </c>
      <c r="T62" s="6">
        <f>S62*(1+Inputs!$C$20)</f>
        <v/>
      </c>
      <c r="U62" s="6">
        <f>T62*(1+Inputs!$C$20)</f>
        <v/>
      </c>
      <c r="V62" s="6">
        <f>U62*(1+Inputs!$C$20)</f>
        <v/>
      </c>
      <c r="W62" s="6">
        <f>V62*(1+Inputs!$C$20)</f>
        <v/>
      </c>
      <c r="X62" s="6">
        <f>W62*(1+Inputs!$C$20)</f>
        <v/>
      </c>
      <c r="Y62" s="6">
        <f>X62*(1+Inputs!$C$20)</f>
        <v/>
      </c>
      <c r="Z62" s="6">
        <f>Y62*(1+Inputs!$C$20)</f>
        <v/>
      </c>
      <c r="AA62" s="6">
        <f>Z62*(1+Inputs!$C$20)</f>
        <v/>
      </c>
    </row>
    <row r="63">
      <c r="A63" s="3" t="inlineStr">
        <is>
          <t>Bill w/ System ($)</t>
        </is>
      </c>
      <c r="B63" s="6" t="n">
        <v>0</v>
      </c>
      <c r="C63" s="10">
        <f>C62-Inputs!$D$45</f>
        <v/>
      </c>
      <c r="D63" s="6">
        <f>D62-Inputs!$D$45*(1+Inputs!$C$20)^(2-1)</f>
        <v/>
      </c>
      <c r="E63" s="6">
        <f>E62-Inputs!$D$45*(1+Inputs!$C$20)^(3-1)</f>
        <v/>
      </c>
      <c r="F63" s="6">
        <f>F62-Inputs!$D$45*(1+Inputs!$C$20)^(4-1)</f>
        <v/>
      </c>
      <c r="G63" s="6">
        <f>G62-Inputs!$D$45*(1+Inputs!$C$20)^(5-1)</f>
        <v/>
      </c>
      <c r="H63" s="6">
        <f>H62-Inputs!$D$45*(1+Inputs!$C$20)^(6-1)</f>
        <v/>
      </c>
      <c r="I63" s="6">
        <f>I62-Inputs!$D$45*(1+Inputs!$C$20)^(7-1)</f>
        <v/>
      </c>
      <c r="J63" s="6">
        <f>J62-Inputs!$D$45*(1+Inputs!$C$20)^(8-1)</f>
        <v/>
      </c>
      <c r="K63" s="6">
        <f>K62-Inputs!$D$45*(1+Inputs!$C$20)^(9-1)</f>
        <v/>
      </c>
      <c r="L63" s="6">
        <f>L62-Inputs!$D$45*(1+Inputs!$C$20)^(10-1)</f>
        <v/>
      </c>
      <c r="M63" s="6">
        <f>M62-Inputs!$D$45*(1+Inputs!$C$20)^(11-1)</f>
        <v/>
      </c>
      <c r="N63" s="6">
        <f>N62-Inputs!$D$45*(1+Inputs!$C$20)^(12-1)</f>
        <v/>
      </c>
      <c r="O63" s="6">
        <f>O62-Inputs!$D$45*(1+Inputs!$C$20)^(13-1)</f>
        <v/>
      </c>
      <c r="P63" s="6">
        <f>P62-Inputs!$D$45*(1+Inputs!$C$20)^(14-1)</f>
        <v/>
      </c>
      <c r="Q63" s="6">
        <f>Q62-Inputs!$D$45*(1+Inputs!$C$20)^(15-1)</f>
        <v/>
      </c>
      <c r="R63" s="6">
        <f>R62-Inputs!$D$45*(1+Inputs!$C$20)^(16-1)</f>
        <v/>
      </c>
      <c r="S63" s="6">
        <f>S62-Inputs!$D$45*(1+Inputs!$C$20)^(17-1)</f>
        <v/>
      </c>
      <c r="T63" s="6">
        <f>T62-Inputs!$D$45*(1+Inputs!$C$20)^(18-1)</f>
        <v/>
      </c>
      <c r="U63" s="6">
        <f>U62-Inputs!$D$45*(1+Inputs!$C$20)^(19-1)</f>
        <v/>
      </c>
      <c r="V63" s="6">
        <f>V62-Inputs!$D$45*(1+Inputs!$C$20)^(20-1)</f>
        <v/>
      </c>
      <c r="W63" s="6">
        <f>W62-Inputs!$D$45*(1+Inputs!$C$20)^(21-1)</f>
        <v/>
      </c>
      <c r="X63" s="6">
        <f>X62-Inputs!$D$45*(1+Inputs!$C$20)^(22-1)</f>
        <v/>
      </c>
      <c r="Y63" s="6">
        <f>Y62-Inputs!$D$45*(1+Inputs!$C$20)^(23-1)</f>
        <v/>
      </c>
      <c r="Z63" s="6">
        <f>Z62-Inputs!$D$45*(1+Inputs!$C$20)^(24-1)</f>
        <v/>
      </c>
      <c r="AA63" s="6">
        <f>AA62-Inputs!$D$45*(1+Inputs!$C$20)^(25-1)</f>
        <v/>
      </c>
    </row>
    <row r="64">
      <c r="A64" s="3" t="inlineStr">
        <is>
          <t>Bill Savings ($)</t>
        </is>
      </c>
      <c r="B64" s="6" t="n">
        <v>0</v>
      </c>
      <c r="C64" s="6">
        <f>C62-C63</f>
        <v/>
      </c>
      <c r="D64" s="6">
        <f>D62-D63</f>
        <v/>
      </c>
      <c r="E64" s="6">
        <f>E62-E63</f>
        <v/>
      </c>
      <c r="F64" s="6">
        <f>F62-F63</f>
        <v/>
      </c>
      <c r="G64" s="6">
        <f>G62-G63</f>
        <v/>
      </c>
      <c r="H64" s="6">
        <f>H62-H63</f>
        <v/>
      </c>
      <c r="I64" s="6">
        <f>I62-I63</f>
        <v/>
      </c>
      <c r="J64" s="6">
        <f>J62-J63</f>
        <v/>
      </c>
      <c r="K64" s="6">
        <f>K62-K63</f>
        <v/>
      </c>
      <c r="L64" s="6">
        <f>L62-L63</f>
        <v/>
      </c>
      <c r="M64" s="6">
        <f>M62-M63</f>
        <v/>
      </c>
      <c r="N64" s="6">
        <f>N62-N63</f>
        <v/>
      </c>
      <c r="O64" s="6">
        <f>O62-O63</f>
        <v/>
      </c>
      <c r="P64" s="6">
        <f>P62-P63</f>
        <v/>
      </c>
      <c r="Q64" s="6">
        <f>Q62-Q63</f>
        <v/>
      </c>
      <c r="R64" s="6">
        <f>R62-R63</f>
        <v/>
      </c>
      <c r="S64" s="6">
        <f>S62-S63</f>
        <v/>
      </c>
      <c r="T64" s="6">
        <f>T62-T63</f>
        <v/>
      </c>
      <c r="U64" s="6">
        <f>U62-U63</f>
        <v/>
      </c>
      <c r="V64" s="6">
        <f>V62-V63</f>
        <v/>
      </c>
      <c r="W64" s="6">
        <f>W62-W63</f>
        <v/>
      </c>
      <c r="X64" s="6">
        <f>X62-X63</f>
        <v/>
      </c>
      <c r="Y64" s="6">
        <f>Y62-Y63</f>
        <v/>
      </c>
      <c r="Z64" s="6">
        <f>Z62-Z63</f>
        <v/>
      </c>
      <c r="AA64" s="6">
        <f>AA62-AA63</f>
        <v/>
      </c>
    </row>
    <row r="65">
      <c r="A65" s="3" t="inlineStr">
        <is>
          <t>Incentive Annual ($)</t>
        </is>
      </c>
      <c r="B65" s="6" t="n">
        <v>0</v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</row>
    <row r="66">
      <c r="A66" s="3" t="inlineStr">
        <is>
          <t>Total Savings ($)</t>
        </is>
      </c>
      <c r="B66" s="6" t="n">
        <v>0</v>
      </c>
      <c r="C66" s="6">
        <f>C64+C65</f>
        <v/>
      </c>
      <c r="D66" s="6">
        <f>D64+D65</f>
        <v/>
      </c>
      <c r="E66" s="6">
        <f>E64+E65</f>
        <v/>
      </c>
      <c r="F66" s="6">
        <f>F64+F65</f>
        <v/>
      </c>
      <c r="G66" s="6">
        <f>G64+G65</f>
        <v/>
      </c>
      <c r="H66" s="6">
        <f>H64+H65</f>
        <v/>
      </c>
      <c r="I66" s="6">
        <f>I64+I65</f>
        <v/>
      </c>
      <c r="J66" s="6">
        <f>J64+J65</f>
        <v/>
      </c>
      <c r="K66" s="6">
        <f>K64+K65</f>
        <v/>
      </c>
      <c r="L66" s="6">
        <f>L64+L65</f>
        <v/>
      </c>
      <c r="M66" s="6">
        <f>M64+M65</f>
        <v/>
      </c>
      <c r="N66" s="6">
        <f>N64+N65</f>
        <v/>
      </c>
      <c r="O66" s="6">
        <f>O64+O65</f>
        <v/>
      </c>
      <c r="P66" s="6">
        <f>P64+P65</f>
        <v/>
      </c>
      <c r="Q66" s="6">
        <f>Q64+Q65</f>
        <v/>
      </c>
      <c r="R66" s="6">
        <f>R64+R65</f>
        <v/>
      </c>
      <c r="S66" s="6">
        <f>S64+S65</f>
        <v/>
      </c>
      <c r="T66" s="6">
        <f>T64+T65</f>
        <v/>
      </c>
      <c r="U66" s="6">
        <f>U64+U65</f>
        <v/>
      </c>
      <c r="V66" s="6">
        <f>V64+V65</f>
        <v/>
      </c>
      <c r="W66" s="6">
        <f>W64+W65</f>
        <v/>
      </c>
      <c r="X66" s="6">
        <f>X64+X65</f>
        <v/>
      </c>
      <c r="Y66" s="6">
        <f>Y64+Y65</f>
        <v/>
      </c>
      <c r="Z66" s="6">
        <f>Z64+Z65</f>
        <v/>
      </c>
      <c r="AA66" s="6">
        <f>AA64+AA65</f>
        <v/>
      </c>
    </row>
    <row r="67">
      <c r="A67" s="3" t="inlineStr">
        <is>
          <t>Net Savings ($)</t>
        </is>
      </c>
      <c r="B67" s="6" t="n">
        <v>0</v>
      </c>
      <c r="C67" s="6">
        <f>C66-C61</f>
        <v/>
      </c>
      <c r="D67" s="6">
        <f>D66-D61</f>
        <v/>
      </c>
      <c r="E67" s="6">
        <f>E66-E61</f>
        <v/>
      </c>
      <c r="F67" s="6">
        <f>F66-F61</f>
        <v/>
      </c>
      <c r="G67" s="6">
        <f>G66-G61</f>
        <v/>
      </c>
      <c r="H67" s="6">
        <f>H66-H61</f>
        <v/>
      </c>
      <c r="I67" s="6">
        <f>I66-I61</f>
        <v/>
      </c>
      <c r="J67" s="6">
        <f>J66-J61</f>
        <v/>
      </c>
      <c r="K67" s="6">
        <f>K66-K61</f>
        <v/>
      </c>
      <c r="L67" s="6">
        <f>L66-L61</f>
        <v/>
      </c>
      <c r="M67" s="6">
        <f>M66-M61</f>
        <v/>
      </c>
      <c r="N67" s="6">
        <f>N66-N61</f>
        <v/>
      </c>
      <c r="O67" s="6">
        <f>O66-O61</f>
        <v/>
      </c>
      <c r="P67" s="6">
        <f>P66-P61</f>
        <v/>
      </c>
      <c r="Q67" s="6">
        <f>Q66-Q61</f>
        <v/>
      </c>
      <c r="R67" s="6">
        <f>R66-R61</f>
        <v/>
      </c>
      <c r="S67" s="6">
        <f>S66-S61</f>
        <v/>
      </c>
      <c r="T67" s="6">
        <f>T66-T61</f>
        <v/>
      </c>
      <c r="U67" s="6">
        <f>U66-U61</f>
        <v/>
      </c>
      <c r="V67" s="6">
        <f>V66-V61</f>
        <v/>
      </c>
      <c r="W67" s="6">
        <f>W66-W61</f>
        <v/>
      </c>
      <c r="X67" s="6">
        <f>X66-X61</f>
        <v/>
      </c>
      <c r="Y67" s="6">
        <f>Y66-Y61</f>
        <v/>
      </c>
      <c r="Z67" s="6">
        <f>Z66-Z61</f>
        <v/>
      </c>
      <c r="AA67" s="6">
        <f>AA66-AA61</f>
        <v/>
      </c>
    </row>
    <row r="68">
      <c r="A68" s="3" t="inlineStr">
        <is>
          <t>Cumulative NPV ($)</t>
        </is>
      </c>
      <c r="B68" s="6" t="n">
        <v>0</v>
      </c>
      <c r="C68" s="6">
        <f>C67/(1+Inputs!$C$19)^1</f>
        <v/>
      </c>
      <c r="D68" s="6">
        <f>C68+D67/(1+Inputs!$C$19)^2</f>
        <v/>
      </c>
      <c r="E68" s="6">
        <f>D68+E67/(1+Inputs!$C$19)^3</f>
        <v/>
      </c>
      <c r="F68" s="6">
        <f>E68+F67/(1+Inputs!$C$19)^4</f>
        <v/>
      </c>
      <c r="G68" s="6">
        <f>F68+G67/(1+Inputs!$C$19)^5</f>
        <v/>
      </c>
      <c r="H68" s="6">
        <f>G68+H67/(1+Inputs!$C$19)^6</f>
        <v/>
      </c>
      <c r="I68" s="6">
        <f>H68+I67/(1+Inputs!$C$19)^7</f>
        <v/>
      </c>
      <c r="J68" s="6">
        <f>I68+J67/(1+Inputs!$C$19)^8</f>
        <v/>
      </c>
      <c r="K68" s="6">
        <f>J68+K67/(1+Inputs!$C$19)^9</f>
        <v/>
      </c>
      <c r="L68" s="6">
        <f>K68+L67/(1+Inputs!$C$19)^10</f>
        <v/>
      </c>
      <c r="M68" s="6">
        <f>L68+M67/(1+Inputs!$C$19)^11</f>
        <v/>
      </c>
      <c r="N68" s="6">
        <f>M68+N67/(1+Inputs!$C$19)^12</f>
        <v/>
      </c>
      <c r="O68" s="6">
        <f>N68+O67/(1+Inputs!$C$19)^13</f>
        <v/>
      </c>
      <c r="P68" s="6">
        <f>O68+P67/(1+Inputs!$C$19)^14</f>
        <v/>
      </c>
      <c r="Q68" s="6">
        <f>P68+Q67/(1+Inputs!$C$19)^15</f>
        <v/>
      </c>
      <c r="R68" s="6">
        <f>Q68+R67/(1+Inputs!$C$19)^16</f>
        <v/>
      </c>
      <c r="S68" s="6">
        <f>R68+S67/(1+Inputs!$C$19)^17</f>
        <v/>
      </c>
      <c r="T68" s="6">
        <f>S68+T67/(1+Inputs!$C$19)^18</f>
        <v/>
      </c>
      <c r="U68" s="6">
        <f>T68+U67/(1+Inputs!$C$19)^19</f>
        <v/>
      </c>
      <c r="V68" s="6">
        <f>U68+V67/(1+Inputs!$C$19)^20</f>
        <v/>
      </c>
      <c r="W68" s="6">
        <f>V68+W67/(1+Inputs!$C$19)^21</f>
        <v/>
      </c>
      <c r="X68" s="6">
        <f>W68+X67/(1+Inputs!$C$19)^22</f>
        <v/>
      </c>
      <c r="Y68" s="6">
        <f>X68+Y67/(1+Inputs!$C$19)^23</f>
        <v/>
      </c>
      <c r="Z68" s="6">
        <f>Y68+Z67/(1+Inputs!$C$19)^24</f>
        <v/>
      </c>
      <c r="AA68" s="6">
        <f>Z68+AA67/(1+Inputs!$C$19)^25</f>
        <v/>
      </c>
    </row>
    <row r="69">
      <c r="A69" s="11" t="inlineStr">
        <is>
          <t>Simple Payback (yr)</t>
        </is>
      </c>
      <c r="B69" s="12">
        <f>IF((C64+C65)&gt;0,B58/(C64+C65),"N/A")</f>
        <v/>
      </c>
    </row>
    <row r="70">
      <c r="A70" s="11" t="inlineStr">
        <is>
          <t>NPV Breakeven Year</t>
        </is>
      </c>
      <c r="B70" s="5" t="inlineStr">
        <is>
          <t>See Cumulative NPV row 68 for first year ≥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/>
    <row r="2"/>
    <row r="3"/>
    <row r="4"/>
    <row r="5">
      <c r="A5" s="8" t="inlineStr">
        <is>
          <t>Solar Only — All Incentives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</row>
    <row r="6">
      <c r="A6" s="2" t="inlineStr">
        <is>
          <t>Year</t>
        </is>
      </c>
      <c r="B6" s="3" t="n">
        <v>0</v>
      </c>
      <c r="C6" s="3" t="n">
        <v>1</v>
      </c>
      <c r="D6" s="3" t="n">
        <v>2</v>
      </c>
      <c r="E6" s="3" t="n">
        <v>3</v>
      </c>
      <c r="F6" s="3" t="n">
        <v>4</v>
      </c>
      <c r="G6" s="3" t="n">
        <v>5</v>
      </c>
      <c r="H6" s="3" t="n">
        <v>6</v>
      </c>
      <c r="I6" s="3" t="n">
        <v>7</v>
      </c>
      <c r="J6" s="3" t="n">
        <v>8</v>
      </c>
      <c r="K6" s="3" t="n">
        <v>9</v>
      </c>
      <c r="L6" s="3" t="n">
        <v>10</v>
      </c>
      <c r="M6" s="3" t="n">
        <v>11</v>
      </c>
      <c r="N6" s="3" t="n">
        <v>12</v>
      </c>
      <c r="O6" s="3" t="n">
        <v>13</v>
      </c>
      <c r="P6" s="3" t="n">
        <v>14</v>
      </c>
      <c r="Q6" s="3" t="n">
        <v>15</v>
      </c>
      <c r="R6" s="3" t="n">
        <v>16</v>
      </c>
      <c r="S6" s="3" t="n">
        <v>17</v>
      </c>
      <c r="T6" s="3" t="n">
        <v>18</v>
      </c>
      <c r="U6" s="3" t="n">
        <v>19</v>
      </c>
      <c r="V6" s="3" t="n">
        <v>20</v>
      </c>
      <c r="W6" s="3" t="n">
        <v>21</v>
      </c>
      <c r="X6" s="3" t="n">
        <v>22</v>
      </c>
      <c r="Y6" s="3" t="n">
        <v>23</v>
      </c>
      <c r="Z6" s="3" t="n">
        <v>24</v>
      </c>
      <c r="AA6" s="3" t="n">
        <v>25</v>
      </c>
    </row>
    <row r="7">
      <c r="A7" s="3" t="inlineStr">
        <is>
          <t>Debt Balance ($)</t>
        </is>
      </c>
      <c r="B7" s="6">
        <f>Inputs!C11-Inputs!C34</f>
        <v/>
      </c>
      <c r="C7" s="6">
        <f>B7-C9</f>
        <v/>
      </c>
      <c r="D7" s="6">
        <f>C7-D9</f>
        <v/>
      </c>
      <c r="E7" s="6">
        <f>D7-E9</f>
        <v/>
      </c>
      <c r="F7" s="6">
        <f>E7-F9</f>
        <v/>
      </c>
      <c r="G7" s="6">
        <f>F7-G9</f>
        <v/>
      </c>
      <c r="H7" s="6">
        <f>G7-H9</f>
        <v/>
      </c>
      <c r="I7" s="6">
        <f>H7-I9</f>
        <v/>
      </c>
      <c r="J7" s="6">
        <f>I7-J9</f>
        <v/>
      </c>
      <c r="K7" s="6">
        <f>J7-K9</f>
        <v/>
      </c>
      <c r="L7" s="6">
        <f>K7-L9</f>
        <v/>
      </c>
      <c r="M7" s="6">
        <f>L7-M9</f>
        <v/>
      </c>
      <c r="N7" s="6">
        <f>M7-N9</f>
        <v/>
      </c>
      <c r="O7" s="6">
        <f>N7-O9</f>
        <v/>
      </c>
      <c r="P7" s="6">
        <f>O7-P9</f>
        <v/>
      </c>
      <c r="Q7" s="6">
        <f>P7-Q9</f>
        <v/>
      </c>
      <c r="R7" s="6">
        <f>Q7-R9</f>
        <v/>
      </c>
      <c r="S7" s="6">
        <f>R7-S9</f>
        <v/>
      </c>
      <c r="T7" s="6">
        <f>S7-T9</f>
        <v/>
      </c>
      <c r="U7" s="6">
        <f>T7-U9</f>
        <v/>
      </c>
      <c r="V7" s="6">
        <f>U7-V9</f>
        <v/>
      </c>
      <c r="W7" s="6">
        <f>V7-W9</f>
        <v/>
      </c>
      <c r="X7" s="6">
        <f>W7-X9</f>
        <v/>
      </c>
      <c r="Y7" s="6">
        <f>X7-Y9</f>
        <v/>
      </c>
      <c r="Z7" s="6">
        <f>Y7-Z9</f>
        <v/>
      </c>
      <c r="AA7" s="6">
        <f>Z7-AA9</f>
        <v/>
      </c>
    </row>
    <row r="8">
      <c r="A8" s="3" t="inlineStr">
        <is>
          <t>Interest Payment ($)</t>
        </is>
      </c>
      <c r="B8" s="6" t="n">
        <v>0</v>
      </c>
      <c r="C8" s="6">
        <f>B7*Inputs!$C$17</f>
        <v/>
      </c>
      <c r="D8" s="6">
        <f>C7*Inputs!$C$17</f>
        <v/>
      </c>
      <c r="E8" s="6">
        <f>D7*Inputs!$C$17</f>
        <v/>
      </c>
      <c r="F8" s="6">
        <f>E7*Inputs!$C$17</f>
        <v/>
      </c>
      <c r="G8" s="6">
        <f>F7*Inputs!$C$17</f>
        <v/>
      </c>
      <c r="H8" s="6">
        <f>G7*Inputs!$C$17</f>
        <v/>
      </c>
      <c r="I8" s="6">
        <f>H7*Inputs!$C$17</f>
        <v/>
      </c>
      <c r="J8" s="6">
        <f>I7*Inputs!$C$17</f>
        <v/>
      </c>
      <c r="K8" s="6">
        <f>J7*Inputs!$C$17</f>
        <v/>
      </c>
      <c r="L8" s="6">
        <f>K7*Inputs!$C$17</f>
        <v/>
      </c>
      <c r="M8" s="6">
        <f>L7*Inputs!$C$17</f>
        <v/>
      </c>
      <c r="N8" s="6">
        <f>M7*Inputs!$C$17</f>
        <v/>
      </c>
      <c r="O8" s="6">
        <f>N7*Inputs!$C$17</f>
        <v/>
      </c>
      <c r="P8" s="6">
        <f>O7*Inputs!$C$17</f>
        <v/>
      </c>
      <c r="Q8" s="6">
        <f>P7*Inputs!$C$17</f>
        <v/>
      </c>
      <c r="R8" s="6">
        <f>Q7*Inputs!$C$17</f>
        <v/>
      </c>
      <c r="S8" s="6">
        <f>R7*Inputs!$C$17</f>
        <v/>
      </c>
      <c r="T8" s="6">
        <f>S7*Inputs!$C$17</f>
        <v/>
      </c>
      <c r="U8" s="6">
        <f>T7*Inputs!$C$17</f>
        <v/>
      </c>
      <c r="V8" s="6">
        <f>U7*Inputs!$C$17</f>
        <v/>
      </c>
      <c r="W8" s="6">
        <f>V7*Inputs!$C$17</f>
        <v/>
      </c>
      <c r="X8" s="6">
        <f>W7*Inputs!$C$17</f>
        <v/>
      </c>
      <c r="Y8" s="6">
        <f>X7*Inputs!$C$17</f>
        <v/>
      </c>
      <c r="Z8" s="6">
        <f>Y7*Inputs!$C$17</f>
        <v/>
      </c>
      <c r="AA8" s="6">
        <f>Z7*Inputs!$C$17</f>
        <v/>
      </c>
    </row>
    <row r="9">
      <c r="A9" s="3" t="inlineStr">
        <is>
          <t>Principal Payment ($)</t>
        </is>
      </c>
      <c r="B9" s="6" t="n">
        <v>0</v>
      </c>
      <c r="C9" s="6">
        <f>-PMT(Inputs!$C$17,Inputs!$C$18,$B$7)-C8</f>
        <v/>
      </c>
      <c r="D9" s="6">
        <f>-PMT(Inputs!$C$17,Inputs!$C$18,$B$7)-D8</f>
        <v/>
      </c>
      <c r="E9" s="6">
        <f>-PMT(Inputs!$C$17,Inputs!$C$18,$B$7)-E8</f>
        <v/>
      </c>
      <c r="F9" s="6">
        <f>-PMT(Inputs!$C$17,Inputs!$C$18,$B$7)-F8</f>
        <v/>
      </c>
      <c r="G9" s="6">
        <f>-PMT(Inputs!$C$17,Inputs!$C$18,$B$7)-G8</f>
        <v/>
      </c>
      <c r="H9" s="6">
        <f>-PMT(Inputs!$C$17,Inputs!$C$18,$B$7)-H8</f>
        <v/>
      </c>
      <c r="I9" s="6">
        <f>-PMT(Inputs!$C$17,Inputs!$C$18,$B$7)-I8</f>
        <v/>
      </c>
      <c r="J9" s="6">
        <f>-PMT(Inputs!$C$17,Inputs!$C$18,$B$7)-J8</f>
        <v/>
      </c>
      <c r="K9" s="6">
        <f>-PMT(Inputs!$C$17,Inputs!$C$18,$B$7)-K8</f>
        <v/>
      </c>
      <c r="L9" s="6">
        <f>-PMT(Inputs!$C$17,Inputs!$C$18,$B$7)-L8</f>
        <v/>
      </c>
      <c r="M9" s="6">
        <f>-PMT(Inputs!$C$17,Inputs!$C$18,$B$7)-M8</f>
        <v/>
      </c>
      <c r="N9" s="6">
        <f>-PMT(Inputs!$C$17,Inputs!$C$18,$B$7)-N8</f>
        <v/>
      </c>
      <c r="O9" s="6">
        <f>-PMT(Inputs!$C$17,Inputs!$C$18,$B$7)-O8</f>
        <v/>
      </c>
      <c r="P9" s="6">
        <f>-PMT(Inputs!$C$17,Inputs!$C$18,$B$7)-P8</f>
        <v/>
      </c>
      <c r="Q9" s="6">
        <f>-PMT(Inputs!$C$17,Inputs!$C$18,$B$7)-Q8</f>
        <v/>
      </c>
      <c r="R9" s="6">
        <f>-PMT(Inputs!$C$17,Inputs!$C$18,$B$7)-R8</f>
        <v/>
      </c>
      <c r="S9" s="6">
        <f>-PMT(Inputs!$C$17,Inputs!$C$18,$B$7)-S8</f>
        <v/>
      </c>
      <c r="T9" s="6">
        <f>-PMT(Inputs!$C$17,Inputs!$C$18,$B$7)-T8</f>
        <v/>
      </c>
      <c r="U9" s="6">
        <f>-PMT(Inputs!$C$17,Inputs!$C$18,$B$7)-U8</f>
        <v/>
      </c>
      <c r="V9" s="6">
        <f>-PMT(Inputs!$C$17,Inputs!$C$18,$B$7)-V8</f>
        <v/>
      </c>
      <c r="W9" s="6">
        <f>-PMT(Inputs!$C$17,Inputs!$C$18,$B$7)-W8</f>
        <v/>
      </c>
      <c r="X9" s="6">
        <f>-PMT(Inputs!$C$17,Inputs!$C$18,$B$7)-X8</f>
        <v/>
      </c>
      <c r="Y9" s="6">
        <f>-PMT(Inputs!$C$17,Inputs!$C$18,$B$7)-Y8</f>
        <v/>
      </c>
      <c r="Z9" s="6">
        <f>-PMT(Inputs!$C$17,Inputs!$C$18,$B$7)-Z8</f>
        <v/>
      </c>
      <c r="AA9" s="6">
        <f>-PMT(Inputs!$C$17,Inputs!$C$18,$B$7)-AA8</f>
        <v/>
      </c>
    </row>
    <row r="10">
      <c r="A10" s="3" t="inlineStr">
        <is>
          <t>Total P&amp;I Payment ($)</t>
        </is>
      </c>
      <c r="B10" s="6" t="n">
        <v>0</v>
      </c>
      <c r="C10" s="6">
        <f>C8+C9</f>
        <v/>
      </c>
      <c r="D10" s="6">
        <f>D8+D9</f>
        <v/>
      </c>
      <c r="E10" s="6">
        <f>E8+E9</f>
        <v/>
      </c>
      <c r="F10" s="6">
        <f>F8+F9</f>
        <v/>
      </c>
      <c r="G10" s="6">
        <f>G8+G9</f>
        <v/>
      </c>
      <c r="H10" s="6">
        <f>H8+H9</f>
        <v/>
      </c>
      <c r="I10" s="6">
        <f>I8+I9</f>
        <v/>
      </c>
      <c r="J10" s="6">
        <f>J8+J9</f>
        <v/>
      </c>
      <c r="K10" s="6">
        <f>K8+K9</f>
        <v/>
      </c>
      <c r="L10" s="6">
        <f>L8+L9</f>
        <v/>
      </c>
      <c r="M10" s="6">
        <f>M8+M9</f>
        <v/>
      </c>
      <c r="N10" s="6">
        <f>N8+N9</f>
        <v/>
      </c>
      <c r="O10" s="6">
        <f>O8+O9</f>
        <v/>
      </c>
      <c r="P10" s="6">
        <f>P8+P9</f>
        <v/>
      </c>
      <c r="Q10" s="6">
        <f>Q8+Q9</f>
        <v/>
      </c>
      <c r="R10" s="6">
        <f>R8+R9</f>
        <v/>
      </c>
      <c r="S10" s="6">
        <f>S8+S9</f>
        <v/>
      </c>
      <c r="T10" s="6">
        <f>T8+T9</f>
        <v/>
      </c>
      <c r="U10" s="6">
        <f>U8+U9</f>
        <v/>
      </c>
      <c r="V10" s="6">
        <f>V8+V9</f>
        <v/>
      </c>
      <c r="W10" s="6">
        <f>W8+W9</f>
        <v/>
      </c>
      <c r="X10" s="6">
        <f>X8+X9</f>
        <v/>
      </c>
      <c r="Y10" s="6">
        <f>Y8+Y9</f>
        <v/>
      </c>
      <c r="Z10" s="6">
        <f>Z8+Z9</f>
        <v/>
      </c>
      <c r="AA10" s="6">
        <f>AA8+AA9</f>
        <v/>
      </c>
    </row>
    <row r="11">
      <c r="A11" s="3" t="inlineStr">
        <is>
          <t>Bill w/o System ($)</t>
        </is>
      </c>
      <c r="B11" s="6" t="n">
        <v>0</v>
      </c>
      <c r="C11" s="10">
        <f>Inputs!$C$30</f>
        <v/>
      </c>
      <c r="D11" s="6">
        <f>C11*(1+Inputs!$C$20)</f>
        <v/>
      </c>
      <c r="E11" s="6">
        <f>D11*(1+Inputs!$C$20)</f>
        <v/>
      </c>
      <c r="F11" s="6">
        <f>E11*(1+Inputs!$C$20)</f>
        <v/>
      </c>
      <c r="G11" s="6">
        <f>F11*(1+Inputs!$C$20)</f>
        <v/>
      </c>
      <c r="H11" s="6">
        <f>G11*(1+Inputs!$C$20)</f>
        <v/>
      </c>
      <c r="I11" s="6">
        <f>H11*(1+Inputs!$C$20)</f>
        <v/>
      </c>
      <c r="J11" s="6">
        <f>I11*(1+Inputs!$C$20)</f>
        <v/>
      </c>
      <c r="K11" s="6">
        <f>J11*(1+Inputs!$C$20)</f>
        <v/>
      </c>
      <c r="L11" s="6">
        <f>K11*(1+Inputs!$C$20)</f>
        <v/>
      </c>
      <c r="M11" s="6">
        <f>L11*(1+Inputs!$C$20)</f>
        <v/>
      </c>
      <c r="N11" s="6">
        <f>M11*(1+Inputs!$C$20)</f>
        <v/>
      </c>
      <c r="O11" s="6">
        <f>N11*(1+Inputs!$C$20)</f>
        <v/>
      </c>
      <c r="P11" s="6">
        <f>O11*(1+Inputs!$C$20)</f>
        <v/>
      </c>
      <c r="Q11" s="6">
        <f>P11*(1+Inputs!$C$20)</f>
        <v/>
      </c>
      <c r="R11" s="6">
        <f>Q11*(1+Inputs!$C$20)</f>
        <v/>
      </c>
      <c r="S11" s="6">
        <f>R11*(1+Inputs!$C$20)</f>
        <v/>
      </c>
      <c r="T11" s="6">
        <f>S11*(1+Inputs!$C$20)</f>
        <v/>
      </c>
      <c r="U11" s="6">
        <f>T11*(1+Inputs!$C$20)</f>
        <v/>
      </c>
      <c r="V11" s="6">
        <f>U11*(1+Inputs!$C$20)</f>
        <v/>
      </c>
      <c r="W11" s="6">
        <f>V11*(1+Inputs!$C$20)</f>
        <v/>
      </c>
      <c r="X11" s="6">
        <f>W11*(1+Inputs!$C$20)</f>
        <v/>
      </c>
      <c r="Y11" s="6">
        <f>X11*(1+Inputs!$C$20)</f>
        <v/>
      </c>
      <c r="Z11" s="6">
        <f>Y11*(1+Inputs!$C$20)</f>
        <v/>
      </c>
      <c r="AA11" s="6">
        <f>Z11*(1+Inputs!$C$20)</f>
        <v/>
      </c>
    </row>
    <row r="12">
      <c r="A12" s="3" t="inlineStr">
        <is>
          <t>Bill w/ System ($)</t>
        </is>
      </c>
      <c r="B12" s="6" t="n">
        <v>0</v>
      </c>
      <c r="C12" s="10">
        <f>C11-Inputs!$C$46</f>
        <v/>
      </c>
      <c r="D12" s="6">
        <f>D11-Inputs!$C$46*(1+Inputs!$C$20)^(2-1)</f>
        <v/>
      </c>
      <c r="E12" s="6">
        <f>E11-Inputs!$C$46*(1+Inputs!$C$20)^(3-1)</f>
        <v/>
      </c>
      <c r="F12" s="6">
        <f>F11-Inputs!$C$46*(1+Inputs!$C$20)^(4-1)</f>
        <v/>
      </c>
      <c r="G12" s="6">
        <f>G11-Inputs!$C$46*(1+Inputs!$C$20)^(5-1)</f>
        <v/>
      </c>
      <c r="H12" s="6">
        <f>H11-Inputs!$C$46*(1+Inputs!$C$20)^(6-1)</f>
        <v/>
      </c>
      <c r="I12" s="6">
        <f>I11-Inputs!$C$46*(1+Inputs!$C$20)^(7-1)</f>
        <v/>
      </c>
      <c r="J12" s="6">
        <f>J11-Inputs!$C$46*(1+Inputs!$C$20)^(8-1)</f>
        <v/>
      </c>
      <c r="K12" s="6">
        <f>K11-Inputs!$C$46*(1+Inputs!$C$20)^(9-1)</f>
        <v/>
      </c>
      <c r="L12" s="6">
        <f>L11-Inputs!$C$46*(1+Inputs!$C$20)^(10-1)</f>
        <v/>
      </c>
      <c r="M12" s="6">
        <f>M11-Inputs!$C$46*(1+Inputs!$C$20)^(11-1)</f>
        <v/>
      </c>
      <c r="N12" s="6">
        <f>N11-Inputs!$C$46*(1+Inputs!$C$20)^(12-1)</f>
        <v/>
      </c>
      <c r="O12" s="6">
        <f>O11-Inputs!$C$46*(1+Inputs!$C$20)^(13-1)</f>
        <v/>
      </c>
      <c r="P12" s="6">
        <f>P11-Inputs!$C$46*(1+Inputs!$C$20)^(14-1)</f>
        <v/>
      </c>
      <c r="Q12" s="6">
        <f>Q11-Inputs!$C$46*(1+Inputs!$C$20)^(15-1)</f>
        <v/>
      </c>
      <c r="R12" s="6">
        <f>R11-Inputs!$C$46*(1+Inputs!$C$20)^(16-1)</f>
        <v/>
      </c>
      <c r="S12" s="6">
        <f>S11-Inputs!$C$46*(1+Inputs!$C$20)^(17-1)</f>
        <v/>
      </c>
      <c r="T12" s="6">
        <f>T11-Inputs!$C$46*(1+Inputs!$C$20)^(18-1)</f>
        <v/>
      </c>
      <c r="U12" s="6">
        <f>U11-Inputs!$C$46*(1+Inputs!$C$20)^(19-1)</f>
        <v/>
      </c>
      <c r="V12" s="6">
        <f>V11-Inputs!$C$46*(1+Inputs!$C$20)^(20-1)</f>
        <v/>
      </c>
      <c r="W12" s="6">
        <f>W11-Inputs!$C$46*(1+Inputs!$C$20)^(21-1)</f>
        <v/>
      </c>
      <c r="X12" s="6">
        <f>X11-Inputs!$C$46*(1+Inputs!$C$20)^(22-1)</f>
        <v/>
      </c>
      <c r="Y12" s="6">
        <f>Y11-Inputs!$C$46*(1+Inputs!$C$20)^(23-1)</f>
        <v/>
      </c>
      <c r="Z12" s="6">
        <f>Z11-Inputs!$C$46*(1+Inputs!$C$20)^(24-1)</f>
        <v/>
      </c>
      <c r="AA12" s="6">
        <f>AA11-Inputs!$C$46*(1+Inputs!$C$20)^(25-1)</f>
        <v/>
      </c>
    </row>
    <row r="13">
      <c r="A13" s="3" t="inlineStr">
        <is>
          <t>Bill Savings ($)</t>
        </is>
      </c>
      <c r="B13" s="6" t="n">
        <v>0</v>
      </c>
      <c r="C13" s="6">
        <f>C11-C12</f>
        <v/>
      </c>
      <c r="D13" s="6">
        <f>D11-D12</f>
        <v/>
      </c>
      <c r="E13" s="6">
        <f>E11-E12</f>
        <v/>
      </c>
      <c r="F13" s="6">
        <f>F11-F12</f>
        <v/>
      </c>
      <c r="G13" s="6">
        <f>G11-G12</f>
        <v/>
      </c>
      <c r="H13" s="6">
        <f>H11-H12</f>
        <v/>
      </c>
      <c r="I13" s="6">
        <f>I11-I12</f>
        <v/>
      </c>
      <c r="J13" s="6">
        <f>J11-J12</f>
        <v/>
      </c>
      <c r="K13" s="6">
        <f>K11-K12</f>
        <v/>
      </c>
      <c r="L13" s="6">
        <f>L11-L12</f>
        <v/>
      </c>
      <c r="M13" s="6">
        <f>M11-M12</f>
        <v/>
      </c>
      <c r="N13" s="6">
        <f>N11-N12</f>
        <v/>
      </c>
      <c r="O13" s="6">
        <f>O11-O12</f>
        <v/>
      </c>
      <c r="P13" s="6">
        <f>P11-P12</f>
        <v/>
      </c>
      <c r="Q13" s="6">
        <f>Q11-Q12</f>
        <v/>
      </c>
      <c r="R13" s="6">
        <f>R11-R12</f>
        <v/>
      </c>
      <c r="S13" s="6">
        <f>S11-S12</f>
        <v/>
      </c>
      <c r="T13" s="6">
        <f>T11-T12</f>
        <v/>
      </c>
      <c r="U13" s="6">
        <f>U11-U12</f>
        <v/>
      </c>
      <c r="V13" s="6">
        <f>V11-V12</f>
        <v/>
      </c>
      <c r="W13" s="6">
        <f>W11-W12</f>
        <v/>
      </c>
      <c r="X13" s="6">
        <f>X11-X12</f>
        <v/>
      </c>
      <c r="Y13" s="6">
        <f>Y11-Y12</f>
        <v/>
      </c>
      <c r="Z13" s="6">
        <f>Z11-Z12</f>
        <v/>
      </c>
      <c r="AA13" s="6">
        <f>AA11-AA12</f>
        <v/>
      </c>
    </row>
    <row r="14">
      <c r="A14" s="3" t="inlineStr">
        <is>
          <t>Incentive Annual ($)</t>
        </is>
      </c>
      <c r="B14" s="6" t="n">
        <v>0</v>
      </c>
      <c r="C14" s="10">
        <f>IF(1&lt;=Inputs!$C$38,Inputs!$C$35,0)</f>
        <v/>
      </c>
      <c r="D14" s="10">
        <f>IF(2&lt;=Inputs!$C$38,Inputs!$C$35,0)</f>
        <v/>
      </c>
      <c r="E14" s="10">
        <f>IF(3&lt;=Inputs!$C$38,Inputs!$C$35,0)</f>
        <v/>
      </c>
      <c r="F14" s="10">
        <f>IF(4&lt;=Inputs!$C$38,Inputs!$C$35,0)</f>
        <v/>
      </c>
      <c r="G14" s="10">
        <f>IF(5&lt;=Inputs!$C$38,Inputs!$C$35,0)</f>
        <v/>
      </c>
      <c r="H14" s="10">
        <f>IF(6&lt;=Inputs!$C$38,Inputs!$C$35,0)</f>
        <v/>
      </c>
      <c r="I14" s="10">
        <f>IF(7&lt;=Inputs!$C$38,Inputs!$C$35,0)</f>
        <v/>
      </c>
      <c r="J14" s="10">
        <f>IF(8&lt;=Inputs!$C$38,Inputs!$C$35,0)</f>
        <v/>
      </c>
      <c r="K14" s="10">
        <f>IF(9&lt;=Inputs!$C$38,Inputs!$C$35,0)</f>
        <v/>
      </c>
      <c r="L14" s="10">
        <f>IF(10&lt;=Inputs!$C$38,Inputs!$C$35,0)</f>
        <v/>
      </c>
      <c r="M14" s="10">
        <f>IF(11&lt;=Inputs!$C$38,Inputs!$C$35,0)</f>
        <v/>
      </c>
      <c r="N14" s="10">
        <f>IF(12&lt;=Inputs!$C$38,Inputs!$C$35,0)</f>
        <v/>
      </c>
      <c r="O14" s="10">
        <f>IF(13&lt;=Inputs!$C$38,Inputs!$C$35,0)</f>
        <v/>
      </c>
      <c r="P14" s="10">
        <f>IF(14&lt;=Inputs!$C$38,Inputs!$C$35,0)</f>
        <v/>
      </c>
      <c r="Q14" s="10">
        <f>IF(15&lt;=Inputs!$C$38,Inputs!$C$35,0)</f>
        <v/>
      </c>
      <c r="R14" s="10">
        <f>IF(16&lt;=Inputs!$C$38,Inputs!$C$35,0)</f>
        <v/>
      </c>
      <c r="S14" s="10">
        <f>IF(17&lt;=Inputs!$C$38,Inputs!$C$35,0)</f>
        <v/>
      </c>
      <c r="T14" s="10">
        <f>IF(18&lt;=Inputs!$C$38,Inputs!$C$35,0)</f>
        <v/>
      </c>
      <c r="U14" s="10">
        <f>IF(19&lt;=Inputs!$C$38,Inputs!$C$35,0)</f>
        <v/>
      </c>
      <c r="V14" s="10">
        <f>IF(20&lt;=Inputs!$C$38,Inputs!$C$35,0)</f>
        <v/>
      </c>
      <c r="W14" s="10">
        <f>IF(21&lt;=Inputs!$C$38,Inputs!$C$35,0)</f>
        <v/>
      </c>
      <c r="X14" s="10">
        <f>IF(22&lt;=Inputs!$C$38,Inputs!$C$35,0)</f>
        <v/>
      </c>
      <c r="Y14" s="10">
        <f>IF(23&lt;=Inputs!$C$38,Inputs!$C$35,0)</f>
        <v/>
      </c>
      <c r="Z14" s="10">
        <f>IF(24&lt;=Inputs!$C$38,Inputs!$C$35,0)</f>
        <v/>
      </c>
      <c r="AA14" s="10">
        <f>IF(25&lt;=Inputs!$C$38,Inputs!$C$35,0)</f>
        <v/>
      </c>
    </row>
    <row r="15">
      <c r="A15" s="3" t="inlineStr">
        <is>
          <t>Total Savings ($)</t>
        </is>
      </c>
      <c r="B15" s="6" t="n">
        <v>0</v>
      </c>
      <c r="C15" s="6">
        <f>C13+C14</f>
        <v/>
      </c>
      <c r="D15" s="6">
        <f>D13+D14</f>
        <v/>
      </c>
      <c r="E15" s="6">
        <f>E13+E14</f>
        <v/>
      </c>
      <c r="F15" s="6">
        <f>F13+F14</f>
        <v/>
      </c>
      <c r="G15" s="6">
        <f>G13+G14</f>
        <v/>
      </c>
      <c r="H15" s="6">
        <f>H13+H14</f>
        <v/>
      </c>
      <c r="I15" s="6">
        <f>I13+I14</f>
        <v/>
      </c>
      <c r="J15" s="6">
        <f>J13+J14</f>
        <v/>
      </c>
      <c r="K15" s="6">
        <f>K13+K14</f>
        <v/>
      </c>
      <c r="L15" s="6">
        <f>L13+L14</f>
        <v/>
      </c>
      <c r="M15" s="6">
        <f>M13+M14</f>
        <v/>
      </c>
      <c r="N15" s="6">
        <f>N13+N14</f>
        <v/>
      </c>
      <c r="O15" s="6">
        <f>O13+O14</f>
        <v/>
      </c>
      <c r="P15" s="6">
        <f>P13+P14</f>
        <v/>
      </c>
      <c r="Q15" s="6">
        <f>Q13+Q14</f>
        <v/>
      </c>
      <c r="R15" s="6">
        <f>R13+R14</f>
        <v/>
      </c>
      <c r="S15" s="6">
        <f>S13+S14</f>
        <v/>
      </c>
      <c r="T15" s="6">
        <f>T13+T14</f>
        <v/>
      </c>
      <c r="U15" s="6">
        <f>U13+U14</f>
        <v/>
      </c>
      <c r="V15" s="6">
        <f>V13+V14</f>
        <v/>
      </c>
      <c r="W15" s="6">
        <f>W13+W14</f>
        <v/>
      </c>
      <c r="X15" s="6">
        <f>X13+X14</f>
        <v/>
      </c>
      <c r="Y15" s="6">
        <f>Y13+Y14</f>
        <v/>
      </c>
      <c r="Z15" s="6">
        <f>Z13+Z14</f>
        <v/>
      </c>
      <c r="AA15" s="6">
        <f>AA13+AA14</f>
        <v/>
      </c>
    </row>
    <row r="16">
      <c r="A16" s="3" t="inlineStr">
        <is>
          <t>Net Savings ($)</t>
        </is>
      </c>
      <c r="B16" s="6" t="n">
        <v>0</v>
      </c>
      <c r="C16" s="6">
        <f>C15-C10</f>
        <v/>
      </c>
      <c r="D16" s="6">
        <f>D15-D10</f>
        <v/>
      </c>
      <c r="E16" s="6">
        <f>E15-E10</f>
        <v/>
      </c>
      <c r="F16" s="6">
        <f>F15-F10</f>
        <v/>
      </c>
      <c r="G16" s="6">
        <f>G15-G10</f>
        <v/>
      </c>
      <c r="H16" s="6">
        <f>H15-H10</f>
        <v/>
      </c>
      <c r="I16" s="6">
        <f>I15-I10</f>
        <v/>
      </c>
      <c r="J16" s="6">
        <f>J15-J10</f>
        <v/>
      </c>
      <c r="K16" s="6">
        <f>K15-K10</f>
        <v/>
      </c>
      <c r="L16" s="6">
        <f>L15-L10</f>
        <v/>
      </c>
      <c r="M16" s="6">
        <f>M15-M10</f>
        <v/>
      </c>
      <c r="N16" s="6">
        <f>N15-N10</f>
        <v/>
      </c>
      <c r="O16" s="6">
        <f>O15-O10</f>
        <v/>
      </c>
      <c r="P16" s="6">
        <f>P15-P10</f>
        <v/>
      </c>
      <c r="Q16" s="6">
        <f>Q15-Q10</f>
        <v/>
      </c>
      <c r="R16" s="6">
        <f>R15-R10</f>
        <v/>
      </c>
      <c r="S16" s="6">
        <f>S15-S10</f>
        <v/>
      </c>
      <c r="T16" s="6">
        <f>T15-T10</f>
        <v/>
      </c>
      <c r="U16" s="6">
        <f>U15-U10</f>
        <v/>
      </c>
      <c r="V16" s="6">
        <f>V15-V10</f>
        <v/>
      </c>
      <c r="W16" s="6">
        <f>W15-W10</f>
        <v/>
      </c>
      <c r="X16" s="6">
        <f>X15-X10</f>
        <v/>
      </c>
      <c r="Y16" s="6">
        <f>Y15-Y10</f>
        <v/>
      </c>
      <c r="Z16" s="6">
        <f>Z15-Z10</f>
        <v/>
      </c>
      <c r="AA16" s="6">
        <f>AA15-AA10</f>
        <v/>
      </c>
    </row>
    <row r="17">
      <c r="A17" s="3" t="inlineStr">
        <is>
          <t>Cumulative NPV ($)</t>
        </is>
      </c>
      <c r="B17" s="6" t="n">
        <v>0</v>
      </c>
      <c r="C17" s="6">
        <f>C16/(1+Inputs!$C$19)^1</f>
        <v/>
      </c>
      <c r="D17" s="6">
        <f>C17+D16/(1+Inputs!$C$19)^2</f>
        <v/>
      </c>
      <c r="E17" s="6">
        <f>D17+E16/(1+Inputs!$C$19)^3</f>
        <v/>
      </c>
      <c r="F17" s="6">
        <f>E17+F16/(1+Inputs!$C$19)^4</f>
        <v/>
      </c>
      <c r="G17" s="6">
        <f>F17+G16/(1+Inputs!$C$19)^5</f>
        <v/>
      </c>
      <c r="H17" s="6">
        <f>G17+H16/(1+Inputs!$C$19)^6</f>
        <v/>
      </c>
      <c r="I17" s="6">
        <f>H17+I16/(1+Inputs!$C$19)^7</f>
        <v/>
      </c>
      <c r="J17" s="6">
        <f>I17+J16/(1+Inputs!$C$19)^8</f>
        <v/>
      </c>
      <c r="K17" s="6">
        <f>J17+K16/(1+Inputs!$C$19)^9</f>
        <v/>
      </c>
      <c r="L17" s="6">
        <f>K17+L16/(1+Inputs!$C$19)^10</f>
        <v/>
      </c>
      <c r="M17" s="6">
        <f>L17+M16/(1+Inputs!$C$19)^11</f>
        <v/>
      </c>
      <c r="N17" s="6">
        <f>M17+N16/(1+Inputs!$C$19)^12</f>
        <v/>
      </c>
      <c r="O17" s="6">
        <f>N17+O16/(1+Inputs!$C$19)^13</f>
        <v/>
      </c>
      <c r="P17" s="6">
        <f>O17+P16/(1+Inputs!$C$19)^14</f>
        <v/>
      </c>
      <c r="Q17" s="6">
        <f>P17+Q16/(1+Inputs!$C$19)^15</f>
        <v/>
      </c>
      <c r="R17" s="6">
        <f>Q17+R16/(1+Inputs!$C$19)^16</f>
        <v/>
      </c>
      <c r="S17" s="6">
        <f>R17+S16/(1+Inputs!$C$19)^17</f>
        <v/>
      </c>
      <c r="T17" s="6">
        <f>S17+T16/(1+Inputs!$C$19)^18</f>
        <v/>
      </c>
      <c r="U17" s="6">
        <f>T17+U16/(1+Inputs!$C$19)^19</f>
        <v/>
      </c>
      <c r="V17" s="6">
        <f>U17+V16/(1+Inputs!$C$19)^20</f>
        <v/>
      </c>
      <c r="W17" s="6">
        <f>V17+W16/(1+Inputs!$C$19)^21</f>
        <v/>
      </c>
      <c r="X17" s="6">
        <f>W17+X16/(1+Inputs!$C$19)^22</f>
        <v/>
      </c>
      <c r="Y17" s="6">
        <f>X17+Y16/(1+Inputs!$C$19)^23</f>
        <v/>
      </c>
      <c r="Z17" s="6">
        <f>Y17+Z16/(1+Inputs!$C$19)^24</f>
        <v/>
      </c>
      <c r="AA17" s="6">
        <f>Z17+AA16/(1+Inputs!$C$19)^25</f>
        <v/>
      </c>
    </row>
    <row r="18">
      <c r="A18" s="11" t="inlineStr">
        <is>
          <t>Simple Payback (yr)</t>
        </is>
      </c>
      <c r="B18" s="12">
        <f>IF((C13+C14)&gt;0,B7/(C13+C14),"N/A")</f>
        <v/>
      </c>
    </row>
    <row r="19">
      <c r="A19" s="11" t="inlineStr">
        <is>
          <t>NPV Breakeven Year</t>
        </is>
      </c>
      <c r="B19" s="5" t="inlineStr">
        <is>
          <t>See Cumulative NPV row 17 for first year ≥ 0</t>
        </is>
      </c>
    </row>
    <row r="20"/>
    <row r="21"/>
    <row r="22">
      <c r="A22" s="8" t="inlineStr">
        <is>
          <t>Solar Only — No Incentives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</row>
    <row r="23">
      <c r="A23" s="2" t="inlineStr">
        <is>
          <t>Year</t>
        </is>
      </c>
      <c r="B23" s="3" t="n">
        <v>0</v>
      </c>
      <c r="C23" s="3" t="n">
        <v>1</v>
      </c>
      <c r="D23" s="3" t="n">
        <v>2</v>
      </c>
      <c r="E23" s="3" t="n">
        <v>3</v>
      </c>
      <c r="F23" s="3" t="n">
        <v>4</v>
      </c>
      <c r="G23" s="3" t="n">
        <v>5</v>
      </c>
      <c r="H23" s="3" t="n">
        <v>6</v>
      </c>
      <c r="I23" s="3" t="n">
        <v>7</v>
      </c>
      <c r="J23" s="3" t="n">
        <v>8</v>
      </c>
      <c r="K23" s="3" t="n">
        <v>9</v>
      </c>
      <c r="L23" s="3" t="n">
        <v>10</v>
      </c>
      <c r="M23" s="3" t="n">
        <v>11</v>
      </c>
      <c r="N23" s="3" t="n">
        <v>12</v>
      </c>
      <c r="O23" s="3" t="n">
        <v>13</v>
      </c>
      <c r="P23" s="3" t="n">
        <v>14</v>
      </c>
      <c r="Q23" s="3" t="n">
        <v>15</v>
      </c>
      <c r="R23" s="3" t="n">
        <v>16</v>
      </c>
      <c r="S23" s="3" t="n">
        <v>17</v>
      </c>
      <c r="T23" s="3" t="n">
        <v>18</v>
      </c>
      <c r="U23" s="3" t="n">
        <v>19</v>
      </c>
      <c r="V23" s="3" t="n">
        <v>20</v>
      </c>
      <c r="W23" s="3" t="n">
        <v>21</v>
      </c>
      <c r="X23" s="3" t="n">
        <v>22</v>
      </c>
      <c r="Y23" s="3" t="n">
        <v>23</v>
      </c>
      <c r="Z23" s="3" t="n">
        <v>24</v>
      </c>
      <c r="AA23" s="3" t="n">
        <v>25</v>
      </c>
    </row>
    <row r="24">
      <c r="A24" s="3" t="inlineStr">
        <is>
          <t>Debt Balance ($)</t>
        </is>
      </c>
      <c r="B24" s="6">
        <f>Inputs!C11</f>
        <v/>
      </c>
      <c r="C24" s="6">
        <f>B24-C26</f>
        <v/>
      </c>
      <c r="D24" s="6">
        <f>C24-D26</f>
        <v/>
      </c>
      <c r="E24" s="6">
        <f>D24-E26</f>
        <v/>
      </c>
      <c r="F24" s="6">
        <f>E24-F26</f>
        <v/>
      </c>
      <c r="G24" s="6">
        <f>F24-G26</f>
        <v/>
      </c>
      <c r="H24" s="6">
        <f>G24-H26</f>
        <v/>
      </c>
      <c r="I24" s="6">
        <f>H24-I26</f>
        <v/>
      </c>
      <c r="J24" s="6">
        <f>I24-J26</f>
        <v/>
      </c>
      <c r="K24" s="6">
        <f>J24-K26</f>
        <v/>
      </c>
      <c r="L24" s="6">
        <f>K24-L26</f>
        <v/>
      </c>
      <c r="M24" s="6">
        <f>L24-M26</f>
        <v/>
      </c>
      <c r="N24" s="6">
        <f>M24-N26</f>
        <v/>
      </c>
      <c r="O24" s="6">
        <f>N24-O26</f>
        <v/>
      </c>
      <c r="P24" s="6">
        <f>O24-P26</f>
        <v/>
      </c>
      <c r="Q24" s="6">
        <f>P24-Q26</f>
        <v/>
      </c>
      <c r="R24" s="6">
        <f>Q24-R26</f>
        <v/>
      </c>
      <c r="S24" s="6">
        <f>R24-S26</f>
        <v/>
      </c>
      <c r="T24" s="6">
        <f>S24-T26</f>
        <v/>
      </c>
      <c r="U24" s="6">
        <f>T24-U26</f>
        <v/>
      </c>
      <c r="V24" s="6">
        <f>U24-V26</f>
        <v/>
      </c>
      <c r="W24" s="6">
        <f>V24-W26</f>
        <v/>
      </c>
      <c r="X24" s="6">
        <f>W24-X26</f>
        <v/>
      </c>
      <c r="Y24" s="6">
        <f>X24-Y26</f>
        <v/>
      </c>
      <c r="Z24" s="6">
        <f>Y24-Z26</f>
        <v/>
      </c>
      <c r="AA24" s="6">
        <f>Z24-AA26</f>
        <v/>
      </c>
    </row>
    <row r="25">
      <c r="A25" s="3" t="inlineStr">
        <is>
          <t>Interest Payment ($)</t>
        </is>
      </c>
      <c r="B25" s="6" t="n">
        <v>0</v>
      </c>
      <c r="C25" s="6">
        <f>B24*Inputs!$C$17</f>
        <v/>
      </c>
      <c r="D25" s="6">
        <f>C24*Inputs!$C$17</f>
        <v/>
      </c>
      <c r="E25" s="6">
        <f>D24*Inputs!$C$17</f>
        <v/>
      </c>
      <c r="F25" s="6">
        <f>E24*Inputs!$C$17</f>
        <v/>
      </c>
      <c r="G25" s="6">
        <f>F24*Inputs!$C$17</f>
        <v/>
      </c>
      <c r="H25" s="6">
        <f>G24*Inputs!$C$17</f>
        <v/>
      </c>
      <c r="I25" s="6">
        <f>H24*Inputs!$C$17</f>
        <v/>
      </c>
      <c r="J25" s="6">
        <f>I24*Inputs!$C$17</f>
        <v/>
      </c>
      <c r="K25" s="6">
        <f>J24*Inputs!$C$17</f>
        <v/>
      </c>
      <c r="L25" s="6">
        <f>K24*Inputs!$C$17</f>
        <v/>
      </c>
      <c r="M25" s="6">
        <f>L24*Inputs!$C$17</f>
        <v/>
      </c>
      <c r="N25" s="6">
        <f>M24*Inputs!$C$17</f>
        <v/>
      </c>
      <c r="O25" s="6">
        <f>N24*Inputs!$C$17</f>
        <v/>
      </c>
      <c r="P25" s="6">
        <f>O24*Inputs!$C$17</f>
        <v/>
      </c>
      <c r="Q25" s="6">
        <f>P24*Inputs!$C$17</f>
        <v/>
      </c>
      <c r="R25" s="6">
        <f>Q24*Inputs!$C$17</f>
        <v/>
      </c>
      <c r="S25" s="6">
        <f>R24*Inputs!$C$17</f>
        <v/>
      </c>
      <c r="T25" s="6">
        <f>S24*Inputs!$C$17</f>
        <v/>
      </c>
      <c r="U25" s="6">
        <f>T24*Inputs!$C$17</f>
        <v/>
      </c>
      <c r="V25" s="6">
        <f>U24*Inputs!$C$17</f>
        <v/>
      </c>
      <c r="W25" s="6">
        <f>V24*Inputs!$C$17</f>
        <v/>
      </c>
      <c r="X25" s="6">
        <f>W24*Inputs!$C$17</f>
        <v/>
      </c>
      <c r="Y25" s="6">
        <f>X24*Inputs!$C$17</f>
        <v/>
      </c>
      <c r="Z25" s="6">
        <f>Y24*Inputs!$C$17</f>
        <v/>
      </c>
      <c r="AA25" s="6">
        <f>Z24*Inputs!$C$17</f>
        <v/>
      </c>
    </row>
    <row r="26">
      <c r="A26" s="3" t="inlineStr">
        <is>
          <t>Principal Payment ($)</t>
        </is>
      </c>
      <c r="B26" s="6" t="n">
        <v>0</v>
      </c>
      <c r="C26" s="6">
        <f>-PMT(Inputs!$C$17,Inputs!$C$18,$B$24)-C25</f>
        <v/>
      </c>
      <c r="D26" s="6">
        <f>-PMT(Inputs!$C$17,Inputs!$C$18,$B$24)-D25</f>
        <v/>
      </c>
      <c r="E26" s="6">
        <f>-PMT(Inputs!$C$17,Inputs!$C$18,$B$24)-E25</f>
        <v/>
      </c>
      <c r="F26" s="6">
        <f>-PMT(Inputs!$C$17,Inputs!$C$18,$B$24)-F25</f>
        <v/>
      </c>
      <c r="G26" s="6">
        <f>-PMT(Inputs!$C$17,Inputs!$C$18,$B$24)-G25</f>
        <v/>
      </c>
      <c r="H26" s="6">
        <f>-PMT(Inputs!$C$17,Inputs!$C$18,$B$24)-H25</f>
        <v/>
      </c>
      <c r="I26" s="6">
        <f>-PMT(Inputs!$C$17,Inputs!$C$18,$B$24)-I25</f>
        <v/>
      </c>
      <c r="J26" s="6">
        <f>-PMT(Inputs!$C$17,Inputs!$C$18,$B$24)-J25</f>
        <v/>
      </c>
      <c r="K26" s="6">
        <f>-PMT(Inputs!$C$17,Inputs!$C$18,$B$24)-K25</f>
        <v/>
      </c>
      <c r="L26" s="6">
        <f>-PMT(Inputs!$C$17,Inputs!$C$18,$B$24)-L25</f>
        <v/>
      </c>
      <c r="M26" s="6">
        <f>-PMT(Inputs!$C$17,Inputs!$C$18,$B$24)-M25</f>
        <v/>
      </c>
      <c r="N26" s="6">
        <f>-PMT(Inputs!$C$17,Inputs!$C$18,$B$24)-N25</f>
        <v/>
      </c>
      <c r="O26" s="6">
        <f>-PMT(Inputs!$C$17,Inputs!$C$18,$B$24)-O25</f>
        <v/>
      </c>
      <c r="P26" s="6">
        <f>-PMT(Inputs!$C$17,Inputs!$C$18,$B$24)-P25</f>
        <v/>
      </c>
      <c r="Q26" s="6">
        <f>-PMT(Inputs!$C$17,Inputs!$C$18,$B$24)-Q25</f>
        <v/>
      </c>
      <c r="R26" s="6">
        <f>-PMT(Inputs!$C$17,Inputs!$C$18,$B$24)-R25</f>
        <v/>
      </c>
      <c r="S26" s="6">
        <f>-PMT(Inputs!$C$17,Inputs!$C$18,$B$24)-S25</f>
        <v/>
      </c>
      <c r="T26" s="6">
        <f>-PMT(Inputs!$C$17,Inputs!$C$18,$B$24)-T25</f>
        <v/>
      </c>
      <c r="U26" s="6">
        <f>-PMT(Inputs!$C$17,Inputs!$C$18,$B$24)-U25</f>
        <v/>
      </c>
      <c r="V26" s="6">
        <f>-PMT(Inputs!$C$17,Inputs!$C$18,$B$24)-V25</f>
        <v/>
      </c>
      <c r="W26" s="6">
        <f>-PMT(Inputs!$C$17,Inputs!$C$18,$B$24)-W25</f>
        <v/>
      </c>
      <c r="X26" s="6">
        <f>-PMT(Inputs!$C$17,Inputs!$C$18,$B$24)-X25</f>
        <v/>
      </c>
      <c r="Y26" s="6">
        <f>-PMT(Inputs!$C$17,Inputs!$C$18,$B$24)-Y25</f>
        <v/>
      </c>
      <c r="Z26" s="6">
        <f>-PMT(Inputs!$C$17,Inputs!$C$18,$B$24)-Z25</f>
        <v/>
      </c>
      <c r="AA26" s="6">
        <f>-PMT(Inputs!$C$17,Inputs!$C$18,$B$24)-AA25</f>
        <v/>
      </c>
    </row>
    <row r="27">
      <c r="A27" s="3" t="inlineStr">
        <is>
          <t>Total P&amp;I Payment ($)</t>
        </is>
      </c>
      <c r="B27" s="6" t="n">
        <v>0</v>
      </c>
      <c r="C27" s="6">
        <f>C25+C26</f>
        <v/>
      </c>
      <c r="D27" s="6">
        <f>D25+D26</f>
        <v/>
      </c>
      <c r="E27" s="6">
        <f>E25+E26</f>
        <v/>
      </c>
      <c r="F27" s="6">
        <f>F25+F26</f>
        <v/>
      </c>
      <c r="G27" s="6">
        <f>G25+G26</f>
        <v/>
      </c>
      <c r="H27" s="6">
        <f>H25+H26</f>
        <v/>
      </c>
      <c r="I27" s="6">
        <f>I25+I26</f>
        <v/>
      </c>
      <c r="J27" s="6">
        <f>J25+J26</f>
        <v/>
      </c>
      <c r="K27" s="6">
        <f>K25+K26</f>
        <v/>
      </c>
      <c r="L27" s="6">
        <f>L25+L26</f>
        <v/>
      </c>
      <c r="M27" s="6">
        <f>M25+M26</f>
        <v/>
      </c>
      <c r="N27" s="6">
        <f>N25+N26</f>
        <v/>
      </c>
      <c r="O27" s="6">
        <f>O25+O26</f>
        <v/>
      </c>
      <c r="P27" s="6">
        <f>P25+P26</f>
        <v/>
      </c>
      <c r="Q27" s="6">
        <f>Q25+Q26</f>
        <v/>
      </c>
      <c r="R27" s="6">
        <f>R25+R26</f>
        <v/>
      </c>
      <c r="S27" s="6">
        <f>S25+S26</f>
        <v/>
      </c>
      <c r="T27" s="6">
        <f>T25+T26</f>
        <v/>
      </c>
      <c r="U27" s="6">
        <f>U25+U26</f>
        <v/>
      </c>
      <c r="V27" s="6">
        <f>V25+V26</f>
        <v/>
      </c>
      <c r="W27" s="6">
        <f>W25+W26</f>
        <v/>
      </c>
      <c r="X27" s="6">
        <f>X25+X26</f>
        <v/>
      </c>
      <c r="Y27" s="6">
        <f>Y25+Y26</f>
        <v/>
      </c>
      <c r="Z27" s="6">
        <f>Z25+Z26</f>
        <v/>
      </c>
      <c r="AA27" s="6">
        <f>AA25+AA26</f>
        <v/>
      </c>
    </row>
    <row r="28">
      <c r="A28" s="3" t="inlineStr">
        <is>
          <t>Bill w/o System ($)</t>
        </is>
      </c>
      <c r="B28" s="6" t="n">
        <v>0</v>
      </c>
      <c r="C28" s="10">
        <f>Inputs!$C$30</f>
        <v/>
      </c>
      <c r="D28" s="6">
        <f>C28*(1+Inputs!$C$20)</f>
        <v/>
      </c>
      <c r="E28" s="6">
        <f>D28*(1+Inputs!$C$20)</f>
        <v/>
      </c>
      <c r="F28" s="6">
        <f>E28*(1+Inputs!$C$20)</f>
        <v/>
      </c>
      <c r="G28" s="6">
        <f>F28*(1+Inputs!$C$20)</f>
        <v/>
      </c>
      <c r="H28" s="6">
        <f>G28*(1+Inputs!$C$20)</f>
        <v/>
      </c>
      <c r="I28" s="6">
        <f>H28*(1+Inputs!$C$20)</f>
        <v/>
      </c>
      <c r="J28" s="6">
        <f>I28*(1+Inputs!$C$20)</f>
        <v/>
      </c>
      <c r="K28" s="6">
        <f>J28*(1+Inputs!$C$20)</f>
        <v/>
      </c>
      <c r="L28" s="6">
        <f>K28*(1+Inputs!$C$20)</f>
        <v/>
      </c>
      <c r="M28" s="6">
        <f>L28*(1+Inputs!$C$20)</f>
        <v/>
      </c>
      <c r="N28" s="6">
        <f>M28*(1+Inputs!$C$20)</f>
        <v/>
      </c>
      <c r="O28" s="6">
        <f>N28*(1+Inputs!$C$20)</f>
        <v/>
      </c>
      <c r="P28" s="6">
        <f>O28*(1+Inputs!$C$20)</f>
        <v/>
      </c>
      <c r="Q28" s="6">
        <f>P28*(1+Inputs!$C$20)</f>
        <v/>
      </c>
      <c r="R28" s="6">
        <f>Q28*(1+Inputs!$C$20)</f>
        <v/>
      </c>
      <c r="S28" s="6">
        <f>R28*(1+Inputs!$C$20)</f>
        <v/>
      </c>
      <c r="T28" s="6">
        <f>S28*(1+Inputs!$C$20)</f>
        <v/>
      </c>
      <c r="U28" s="6">
        <f>T28*(1+Inputs!$C$20)</f>
        <v/>
      </c>
      <c r="V28" s="6">
        <f>U28*(1+Inputs!$C$20)</f>
        <v/>
      </c>
      <c r="W28" s="6">
        <f>V28*(1+Inputs!$C$20)</f>
        <v/>
      </c>
      <c r="X28" s="6">
        <f>W28*(1+Inputs!$C$20)</f>
        <v/>
      </c>
      <c r="Y28" s="6">
        <f>X28*(1+Inputs!$C$20)</f>
        <v/>
      </c>
      <c r="Z28" s="6">
        <f>Y28*(1+Inputs!$C$20)</f>
        <v/>
      </c>
      <c r="AA28" s="6">
        <f>Z28*(1+Inputs!$C$20)</f>
        <v/>
      </c>
    </row>
    <row r="29">
      <c r="A29" s="3" t="inlineStr">
        <is>
          <t>Bill w/ System ($)</t>
        </is>
      </c>
      <c r="B29" s="6" t="n">
        <v>0</v>
      </c>
      <c r="C29" s="10">
        <f>C28-Inputs!$C$46</f>
        <v/>
      </c>
      <c r="D29" s="6">
        <f>D28-Inputs!$C$46*(1+Inputs!$C$20)^(2-1)</f>
        <v/>
      </c>
      <c r="E29" s="6">
        <f>E28-Inputs!$C$46*(1+Inputs!$C$20)^(3-1)</f>
        <v/>
      </c>
      <c r="F29" s="6">
        <f>F28-Inputs!$C$46*(1+Inputs!$C$20)^(4-1)</f>
        <v/>
      </c>
      <c r="G29" s="6">
        <f>G28-Inputs!$C$46*(1+Inputs!$C$20)^(5-1)</f>
        <v/>
      </c>
      <c r="H29" s="6">
        <f>H28-Inputs!$C$46*(1+Inputs!$C$20)^(6-1)</f>
        <v/>
      </c>
      <c r="I29" s="6">
        <f>I28-Inputs!$C$46*(1+Inputs!$C$20)^(7-1)</f>
        <v/>
      </c>
      <c r="J29" s="6">
        <f>J28-Inputs!$C$46*(1+Inputs!$C$20)^(8-1)</f>
        <v/>
      </c>
      <c r="K29" s="6">
        <f>K28-Inputs!$C$46*(1+Inputs!$C$20)^(9-1)</f>
        <v/>
      </c>
      <c r="L29" s="6">
        <f>L28-Inputs!$C$46*(1+Inputs!$C$20)^(10-1)</f>
        <v/>
      </c>
      <c r="M29" s="6">
        <f>M28-Inputs!$C$46*(1+Inputs!$C$20)^(11-1)</f>
        <v/>
      </c>
      <c r="N29" s="6">
        <f>N28-Inputs!$C$46*(1+Inputs!$C$20)^(12-1)</f>
        <v/>
      </c>
      <c r="O29" s="6">
        <f>O28-Inputs!$C$46*(1+Inputs!$C$20)^(13-1)</f>
        <v/>
      </c>
      <c r="P29" s="6">
        <f>P28-Inputs!$C$46*(1+Inputs!$C$20)^(14-1)</f>
        <v/>
      </c>
      <c r="Q29" s="6">
        <f>Q28-Inputs!$C$46*(1+Inputs!$C$20)^(15-1)</f>
        <v/>
      </c>
      <c r="R29" s="6">
        <f>R28-Inputs!$C$46*(1+Inputs!$C$20)^(16-1)</f>
        <v/>
      </c>
      <c r="S29" s="6">
        <f>S28-Inputs!$C$46*(1+Inputs!$C$20)^(17-1)</f>
        <v/>
      </c>
      <c r="T29" s="6">
        <f>T28-Inputs!$C$46*(1+Inputs!$C$20)^(18-1)</f>
        <v/>
      </c>
      <c r="U29" s="6">
        <f>U28-Inputs!$C$46*(1+Inputs!$C$20)^(19-1)</f>
        <v/>
      </c>
      <c r="V29" s="6">
        <f>V28-Inputs!$C$46*(1+Inputs!$C$20)^(20-1)</f>
        <v/>
      </c>
      <c r="W29" s="6">
        <f>W28-Inputs!$C$46*(1+Inputs!$C$20)^(21-1)</f>
        <v/>
      </c>
      <c r="X29" s="6">
        <f>X28-Inputs!$C$46*(1+Inputs!$C$20)^(22-1)</f>
        <v/>
      </c>
      <c r="Y29" s="6">
        <f>Y28-Inputs!$C$46*(1+Inputs!$C$20)^(23-1)</f>
        <v/>
      </c>
      <c r="Z29" s="6">
        <f>Z28-Inputs!$C$46*(1+Inputs!$C$20)^(24-1)</f>
        <v/>
      </c>
      <c r="AA29" s="6">
        <f>AA28-Inputs!$C$46*(1+Inputs!$C$20)^(25-1)</f>
        <v/>
      </c>
    </row>
    <row r="30">
      <c r="A30" s="3" t="inlineStr">
        <is>
          <t>Bill Savings ($)</t>
        </is>
      </c>
      <c r="B30" s="6" t="n">
        <v>0</v>
      </c>
      <c r="C30" s="6">
        <f>C28-C29</f>
        <v/>
      </c>
      <c r="D30" s="6">
        <f>D28-D29</f>
        <v/>
      </c>
      <c r="E30" s="6">
        <f>E28-E29</f>
        <v/>
      </c>
      <c r="F30" s="6">
        <f>F28-F29</f>
        <v/>
      </c>
      <c r="G30" s="6">
        <f>G28-G29</f>
        <v/>
      </c>
      <c r="H30" s="6">
        <f>H28-H29</f>
        <v/>
      </c>
      <c r="I30" s="6">
        <f>I28-I29</f>
        <v/>
      </c>
      <c r="J30" s="6">
        <f>J28-J29</f>
        <v/>
      </c>
      <c r="K30" s="6">
        <f>K28-K29</f>
        <v/>
      </c>
      <c r="L30" s="6">
        <f>L28-L29</f>
        <v/>
      </c>
      <c r="M30" s="6">
        <f>M28-M29</f>
        <v/>
      </c>
      <c r="N30" s="6">
        <f>N28-N29</f>
        <v/>
      </c>
      <c r="O30" s="6">
        <f>O28-O29</f>
        <v/>
      </c>
      <c r="P30" s="6">
        <f>P28-P29</f>
        <v/>
      </c>
      <c r="Q30" s="6">
        <f>Q28-Q29</f>
        <v/>
      </c>
      <c r="R30" s="6">
        <f>R28-R29</f>
        <v/>
      </c>
      <c r="S30" s="6">
        <f>S28-S29</f>
        <v/>
      </c>
      <c r="T30" s="6">
        <f>T28-T29</f>
        <v/>
      </c>
      <c r="U30" s="6">
        <f>U28-U29</f>
        <v/>
      </c>
      <c r="V30" s="6">
        <f>V28-V29</f>
        <v/>
      </c>
      <c r="W30" s="6">
        <f>W28-W29</f>
        <v/>
      </c>
      <c r="X30" s="6">
        <f>X28-X29</f>
        <v/>
      </c>
      <c r="Y30" s="6">
        <f>Y28-Y29</f>
        <v/>
      </c>
      <c r="Z30" s="6">
        <f>Z28-Z29</f>
        <v/>
      </c>
      <c r="AA30" s="6">
        <f>AA28-AA29</f>
        <v/>
      </c>
    </row>
    <row r="31">
      <c r="A31" s="3" t="inlineStr">
        <is>
          <t>Incentive Annual ($)</t>
        </is>
      </c>
      <c r="B31" s="6" t="n">
        <v>0</v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</row>
    <row r="32">
      <c r="A32" s="3" t="inlineStr">
        <is>
          <t>Total Savings ($)</t>
        </is>
      </c>
      <c r="B32" s="6" t="n">
        <v>0</v>
      </c>
      <c r="C32" s="6">
        <f>C30+C31</f>
        <v/>
      </c>
      <c r="D32" s="6">
        <f>D30+D31</f>
        <v/>
      </c>
      <c r="E32" s="6">
        <f>E30+E31</f>
        <v/>
      </c>
      <c r="F32" s="6">
        <f>F30+F31</f>
        <v/>
      </c>
      <c r="G32" s="6">
        <f>G30+G31</f>
        <v/>
      </c>
      <c r="H32" s="6">
        <f>H30+H31</f>
        <v/>
      </c>
      <c r="I32" s="6">
        <f>I30+I31</f>
        <v/>
      </c>
      <c r="J32" s="6">
        <f>J30+J31</f>
        <v/>
      </c>
      <c r="K32" s="6">
        <f>K30+K31</f>
        <v/>
      </c>
      <c r="L32" s="6">
        <f>L30+L31</f>
        <v/>
      </c>
      <c r="M32" s="6">
        <f>M30+M31</f>
        <v/>
      </c>
      <c r="N32" s="6">
        <f>N30+N31</f>
        <v/>
      </c>
      <c r="O32" s="6">
        <f>O30+O31</f>
        <v/>
      </c>
      <c r="P32" s="6">
        <f>P30+P31</f>
        <v/>
      </c>
      <c r="Q32" s="6">
        <f>Q30+Q31</f>
        <v/>
      </c>
      <c r="R32" s="6">
        <f>R30+R31</f>
        <v/>
      </c>
      <c r="S32" s="6">
        <f>S30+S31</f>
        <v/>
      </c>
      <c r="T32" s="6">
        <f>T30+T31</f>
        <v/>
      </c>
      <c r="U32" s="6">
        <f>U30+U31</f>
        <v/>
      </c>
      <c r="V32" s="6">
        <f>V30+V31</f>
        <v/>
      </c>
      <c r="W32" s="6">
        <f>W30+W31</f>
        <v/>
      </c>
      <c r="X32" s="6">
        <f>X30+X31</f>
        <v/>
      </c>
      <c r="Y32" s="6">
        <f>Y30+Y31</f>
        <v/>
      </c>
      <c r="Z32" s="6">
        <f>Z30+Z31</f>
        <v/>
      </c>
      <c r="AA32" s="6">
        <f>AA30+AA31</f>
        <v/>
      </c>
    </row>
    <row r="33">
      <c r="A33" s="3" t="inlineStr">
        <is>
          <t>Net Savings ($)</t>
        </is>
      </c>
      <c r="B33" s="6" t="n">
        <v>0</v>
      </c>
      <c r="C33" s="6">
        <f>C32-C27</f>
        <v/>
      </c>
      <c r="D33" s="6">
        <f>D32-D27</f>
        <v/>
      </c>
      <c r="E33" s="6">
        <f>E32-E27</f>
        <v/>
      </c>
      <c r="F33" s="6">
        <f>F32-F27</f>
        <v/>
      </c>
      <c r="G33" s="6">
        <f>G32-G27</f>
        <v/>
      </c>
      <c r="H33" s="6">
        <f>H32-H27</f>
        <v/>
      </c>
      <c r="I33" s="6">
        <f>I32-I27</f>
        <v/>
      </c>
      <c r="J33" s="6">
        <f>J32-J27</f>
        <v/>
      </c>
      <c r="K33" s="6">
        <f>K32-K27</f>
        <v/>
      </c>
      <c r="L33" s="6">
        <f>L32-L27</f>
        <v/>
      </c>
      <c r="M33" s="6">
        <f>M32-M27</f>
        <v/>
      </c>
      <c r="N33" s="6">
        <f>N32-N27</f>
        <v/>
      </c>
      <c r="O33" s="6">
        <f>O32-O27</f>
        <v/>
      </c>
      <c r="P33" s="6">
        <f>P32-P27</f>
        <v/>
      </c>
      <c r="Q33" s="6">
        <f>Q32-Q27</f>
        <v/>
      </c>
      <c r="R33" s="6">
        <f>R32-R27</f>
        <v/>
      </c>
      <c r="S33" s="6">
        <f>S32-S27</f>
        <v/>
      </c>
      <c r="T33" s="6">
        <f>T32-T27</f>
        <v/>
      </c>
      <c r="U33" s="6">
        <f>U32-U27</f>
        <v/>
      </c>
      <c r="V33" s="6">
        <f>V32-V27</f>
        <v/>
      </c>
      <c r="W33" s="6">
        <f>W32-W27</f>
        <v/>
      </c>
      <c r="X33" s="6">
        <f>X32-X27</f>
        <v/>
      </c>
      <c r="Y33" s="6">
        <f>Y32-Y27</f>
        <v/>
      </c>
      <c r="Z33" s="6">
        <f>Z32-Z27</f>
        <v/>
      </c>
      <c r="AA33" s="6">
        <f>AA32-AA27</f>
        <v/>
      </c>
    </row>
    <row r="34">
      <c r="A34" s="3" t="inlineStr">
        <is>
          <t>Cumulative NPV ($)</t>
        </is>
      </c>
      <c r="B34" s="6" t="n">
        <v>0</v>
      </c>
      <c r="C34" s="6">
        <f>C33/(1+Inputs!$C$19)^1</f>
        <v/>
      </c>
      <c r="D34" s="6">
        <f>C34+D33/(1+Inputs!$C$19)^2</f>
        <v/>
      </c>
      <c r="E34" s="6">
        <f>D34+E33/(1+Inputs!$C$19)^3</f>
        <v/>
      </c>
      <c r="F34" s="6">
        <f>E34+F33/(1+Inputs!$C$19)^4</f>
        <v/>
      </c>
      <c r="G34" s="6">
        <f>F34+G33/(1+Inputs!$C$19)^5</f>
        <v/>
      </c>
      <c r="H34" s="6">
        <f>G34+H33/(1+Inputs!$C$19)^6</f>
        <v/>
      </c>
      <c r="I34" s="6">
        <f>H34+I33/(1+Inputs!$C$19)^7</f>
        <v/>
      </c>
      <c r="J34" s="6">
        <f>I34+J33/(1+Inputs!$C$19)^8</f>
        <v/>
      </c>
      <c r="K34" s="6">
        <f>J34+K33/(1+Inputs!$C$19)^9</f>
        <v/>
      </c>
      <c r="L34" s="6">
        <f>K34+L33/(1+Inputs!$C$19)^10</f>
        <v/>
      </c>
      <c r="M34" s="6">
        <f>L34+M33/(1+Inputs!$C$19)^11</f>
        <v/>
      </c>
      <c r="N34" s="6">
        <f>M34+N33/(1+Inputs!$C$19)^12</f>
        <v/>
      </c>
      <c r="O34" s="6">
        <f>N34+O33/(1+Inputs!$C$19)^13</f>
        <v/>
      </c>
      <c r="P34" s="6">
        <f>O34+P33/(1+Inputs!$C$19)^14</f>
        <v/>
      </c>
      <c r="Q34" s="6">
        <f>P34+Q33/(1+Inputs!$C$19)^15</f>
        <v/>
      </c>
      <c r="R34" s="6">
        <f>Q34+R33/(1+Inputs!$C$19)^16</f>
        <v/>
      </c>
      <c r="S34" s="6">
        <f>R34+S33/(1+Inputs!$C$19)^17</f>
        <v/>
      </c>
      <c r="T34" s="6">
        <f>S34+T33/(1+Inputs!$C$19)^18</f>
        <v/>
      </c>
      <c r="U34" s="6">
        <f>T34+U33/(1+Inputs!$C$19)^19</f>
        <v/>
      </c>
      <c r="V34" s="6">
        <f>U34+V33/(1+Inputs!$C$19)^20</f>
        <v/>
      </c>
      <c r="W34" s="6">
        <f>V34+W33/(1+Inputs!$C$19)^21</f>
        <v/>
      </c>
      <c r="X34" s="6">
        <f>W34+X33/(1+Inputs!$C$19)^22</f>
        <v/>
      </c>
      <c r="Y34" s="6">
        <f>X34+Y33/(1+Inputs!$C$19)^23</f>
        <v/>
      </c>
      <c r="Z34" s="6">
        <f>Y34+Z33/(1+Inputs!$C$19)^24</f>
        <v/>
      </c>
      <c r="AA34" s="6">
        <f>Z34+AA33/(1+Inputs!$C$19)^25</f>
        <v/>
      </c>
    </row>
    <row r="35">
      <c r="A35" s="11" t="inlineStr">
        <is>
          <t>Simple Payback (yr)</t>
        </is>
      </c>
      <c r="B35" s="12">
        <f>IF((C30+C31)&gt;0,B24/(C30+C31),"N/A")</f>
        <v/>
      </c>
    </row>
    <row r="36">
      <c r="A36" s="11" t="inlineStr">
        <is>
          <t>NPV Breakeven Year</t>
        </is>
      </c>
      <c r="B36" s="5" t="inlineStr">
        <is>
          <t>See Cumulative NPV row 34 for first year ≥ 0</t>
        </is>
      </c>
    </row>
    <row r="37"/>
    <row r="38"/>
    <row r="39">
      <c r="A39" s="8" t="inlineStr">
        <is>
          <t>PV+Storage — All Incentives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</row>
    <row r="40">
      <c r="A40" s="2" t="inlineStr">
        <is>
          <t>Year</t>
        </is>
      </c>
      <c r="B40" s="3" t="n">
        <v>0</v>
      </c>
      <c r="C40" s="3" t="n">
        <v>1</v>
      </c>
      <c r="D40" s="3" t="n">
        <v>2</v>
      </c>
      <c r="E40" s="3" t="n">
        <v>3</v>
      </c>
      <c r="F40" s="3" t="n">
        <v>4</v>
      </c>
      <c r="G40" s="3" t="n">
        <v>5</v>
      </c>
      <c r="H40" s="3" t="n">
        <v>6</v>
      </c>
      <c r="I40" s="3" t="n">
        <v>7</v>
      </c>
      <c r="J40" s="3" t="n">
        <v>8</v>
      </c>
      <c r="K40" s="3" t="n">
        <v>9</v>
      </c>
      <c r="L40" s="3" t="n">
        <v>10</v>
      </c>
      <c r="M40" s="3" t="n">
        <v>11</v>
      </c>
      <c r="N40" s="3" t="n">
        <v>12</v>
      </c>
      <c r="O40" s="3" t="n">
        <v>13</v>
      </c>
      <c r="P40" s="3" t="n">
        <v>14</v>
      </c>
      <c r="Q40" s="3" t="n">
        <v>15</v>
      </c>
      <c r="R40" s="3" t="n">
        <v>16</v>
      </c>
      <c r="S40" s="3" t="n">
        <v>17</v>
      </c>
      <c r="T40" s="3" t="n">
        <v>18</v>
      </c>
      <c r="U40" s="3" t="n">
        <v>19</v>
      </c>
      <c r="V40" s="3" t="n">
        <v>20</v>
      </c>
      <c r="W40" s="3" t="n">
        <v>21</v>
      </c>
      <c r="X40" s="3" t="n">
        <v>22</v>
      </c>
      <c r="Y40" s="3" t="n">
        <v>23</v>
      </c>
      <c r="Z40" s="3" t="n">
        <v>24</v>
      </c>
      <c r="AA40" s="3" t="n">
        <v>25</v>
      </c>
    </row>
    <row r="41">
      <c r="A41" s="3" t="inlineStr">
        <is>
          <t>Debt Balance ($)</t>
        </is>
      </c>
      <c r="B41" s="6">
        <f>Inputs!C14-Inputs!C34</f>
        <v/>
      </c>
      <c r="C41" s="6">
        <f>B41-C43</f>
        <v/>
      </c>
      <c r="D41" s="6">
        <f>C41-D43</f>
        <v/>
      </c>
      <c r="E41" s="6">
        <f>D41-E43</f>
        <v/>
      </c>
      <c r="F41" s="6">
        <f>E41-F43</f>
        <v/>
      </c>
      <c r="G41" s="6">
        <f>F41-G43</f>
        <v/>
      </c>
      <c r="H41" s="6">
        <f>G41-H43</f>
        <v/>
      </c>
      <c r="I41" s="6">
        <f>H41-I43</f>
        <v/>
      </c>
      <c r="J41" s="6">
        <f>I41-J43</f>
        <v/>
      </c>
      <c r="K41" s="6">
        <f>J41-K43</f>
        <v/>
      </c>
      <c r="L41" s="6">
        <f>K41-L43</f>
        <v/>
      </c>
      <c r="M41" s="6">
        <f>L41-M43</f>
        <v/>
      </c>
      <c r="N41" s="6">
        <f>M41-N43</f>
        <v/>
      </c>
      <c r="O41" s="6">
        <f>N41-O43</f>
        <v/>
      </c>
      <c r="P41" s="6">
        <f>O41-P43</f>
        <v/>
      </c>
      <c r="Q41" s="6">
        <f>P41-Q43</f>
        <v/>
      </c>
      <c r="R41" s="6">
        <f>Q41-R43</f>
        <v/>
      </c>
      <c r="S41" s="6">
        <f>R41-S43</f>
        <v/>
      </c>
      <c r="T41" s="6">
        <f>S41-T43</f>
        <v/>
      </c>
      <c r="U41" s="6">
        <f>T41-U43</f>
        <v/>
      </c>
      <c r="V41" s="6">
        <f>U41-V43</f>
        <v/>
      </c>
      <c r="W41" s="6">
        <f>V41-W43</f>
        <v/>
      </c>
      <c r="X41" s="6">
        <f>W41-X43</f>
        <v/>
      </c>
      <c r="Y41" s="6">
        <f>X41-Y43</f>
        <v/>
      </c>
      <c r="Z41" s="6">
        <f>Y41-Z43</f>
        <v/>
      </c>
      <c r="AA41" s="6">
        <f>Z41-AA43</f>
        <v/>
      </c>
    </row>
    <row r="42">
      <c r="A42" s="3" t="inlineStr">
        <is>
          <t>Interest Payment ($)</t>
        </is>
      </c>
      <c r="B42" s="6" t="n">
        <v>0</v>
      </c>
      <c r="C42" s="6">
        <f>B41*Inputs!$C$17</f>
        <v/>
      </c>
      <c r="D42" s="6">
        <f>C41*Inputs!$C$17</f>
        <v/>
      </c>
      <c r="E42" s="6">
        <f>D41*Inputs!$C$17</f>
        <v/>
      </c>
      <c r="F42" s="6">
        <f>E41*Inputs!$C$17</f>
        <v/>
      </c>
      <c r="G42" s="6">
        <f>F41*Inputs!$C$17</f>
        <v/>
      </c>
      <c r="H42" s="6">
        <f>G41*Inputs!$C$17</f>
        <v/>
      </c>
      <c r="I42" s="6">
        <f>H41*Inputs!$C$17</f>
        <v/>
      </c>
      <c r="J42" s="6">
        <f>I41*Inputs!$C$17</f>
        <v/>
      </c>
      <c r="K42" s="6">
        <f>J41*Inputs!$C$17</f>
        <v/>
      </c>
      <c r="L42" s="6">
        <f>K41*Inputs!$C$17</f>
        <v/>
      </c>
      <c r="M42" s="6">
        <f>L41*Inputs!$C$17</f>
        <v/>
      </c>
      <c r="N42" s="6">
        <f>M41*Inputs!$C$17</f>
        <v/>
      </c>
      <c r="O42" s="6">
        <f>N41*Inputs!$C$17</f>
        <v/>
      </c>
      <c r="P42" s="6">
        <f>O41*Inputs!$C$17</f>
        <v/>
      </c>
      <c r="Q42" s="6">
        <f>P41*Inputs!$C$17</f>
        <v/>
      </c>
      <c r="R42" s="6">
        <f>Q41*Inputs!$C$17</f>
        <v/>
      </c>
      <c r="S42" s="6">
        <f>R41*Inputs!$C$17</f>
        <v/>
      </c>
      <c r="T42" s="6">
        <f>S41*Inputs!$C$17</f>
        <v/>
      </c>
      <c r="U42" s="6">
        <f>T41*Inputs!$C$17</f>
        <v/>
      </c>
      <c r="V42" s="6">
        <f>U41*Inputs!$C$17</f>
        <v/>
      </c>
      <c r="W42" s="6">
        <f>V41*Inputs!$C$17</f>
        <v/>
      </c>
      <c r="X42" s="6">
        <f>W41*Inputs!$C$17</f>
        <v/>
      </c>
      <c r="Y42" s="6">
        <f>X41*Inputs!$C$17</f>
        <v/>
      </c>
      <c r="Z42" s="6">
        <f>Y41*Inputs!$C$17</f>
        <v/>
      </c>
      <c r="AA42" s="6">
        <f>Z41*Inputs!$C$17</f>
        <v/>
      </c>
    </row>
    <row r="43">
      <c r="A43" s="3" t="inlineStr">
        <is>
          <t>Principal Payment ($)</t>
        </is>
      </c>
      <c r="B43" s="6" t="n">
        <v>0</v>
      </c>
      <c r="C43" s="6">
        <f>-PMT(Inputs!$C$17,Inputs!$C$18,$B$41)-C42</f>
        <v/>
      </c>
      <c r="D43" s="6">
        <f>-PMT(Inputs!$C$17,Inputs!$C$18,$B$41)-D42</f>
        <v/>
      </c>
      <c r="E43" s="6">
        <f>-PMT(Inputs!$C$17,Inputs!$C$18,$B$41)-E42</f>
        <v/>
      </c>
      <c r="F43" s="6">
        <f>-PMT(Inputs!$C$17,Inputs!$C$18,$B$41)-F42</f>
        <v/>
      </c>
      <c r="G43" s="6">
        <f>-PMT(Inputs!$C$17,Inputs!$C$18,$B$41)-G42</f>
        <v/>
      </c>
      <c r="H43" s="6">
        <f>-PMT(Inputs!$C$17,Inputs!$C$18,$B$41)-H42</f>
        <v/>
      </c>
      <c r="I43" s="6">
        <f>-PMT(Inputs!$C$17,Inputs!$C$18,$B$41)-I42</f>
        <v/>
      </c>
      <c r="J43" s="6">
        <f>-PMT(Inputs!$C$17,Inputs!$C$18,$B$41)-J42</f>
        <v/>
      </c>
      <c r="K43" s="6">
        <f>-PMT(Inputs!$C$17,Inputs!$C$18,$B$41)-K42</f>
        <v/>
      </c>
      <c r="L43" s="6">
        <f>-PMT(Inputs!$C$17,Inputs!$C$18,$B$41)-L42</f>
        <v/>
      </c>
      <c r="M43" s="6">
        <f>-PMT(Inputs!$C$17,Inputs!$C$18,$B$41)-M42</f>
        <v/>
      </c>
      <c r="N43" s="6">
        <f>-PMT(Inputs!$C$17,Inputs!$C$18,$B$41)-N42</f>
        <v/>
      </c>
      <c r="O43" s="6">
        <f>-PMT(Inputs!$C$17,Inputs!$C$18,$B$41)-O42</f>
        <v/>
      </c>
      <c r="P43" s="6">
        <f>-PMT(Inputs!$C$17,Inputs!$C$18,$B$41)-P42</f>
        <v/>
      </c>
      <c r="Q43" s="6">
        <f>-PMT(Inputs!$C$17,Inputs!$C$18,$B$41)-Q42</f>
        <v/>
      </c>
      <c r="R43" s="6">
        <f>-PMT(Inputs!$C$17,Inputs!$C$18,$B$41)-R42</f>
        <v/>
      </c>
      <c r="S43" s="6">
        <f>-PMT(Inputs!$C$17,Inputs!$C$18,$B$41)-S42</f>
        <v/>
      </c>
      <c r="T43" s="6">
        <f>-PMT(Inputs!$C$17,Inputs!$C$18,$B$41)-T42</f>
        <v/>
      </c>
      <c r="U43" s="6">
        <f>-PMT(Inputs!$C$17,Inputs!$C$18,$B$41)-U42</f>
        <v/>
      </c>
      <c r="V43" s="6">
        <f>-PMT(Inputs!$C$17,Inputs!$C$18,$B$41)-V42</f>
        <v/>
      </c>
      <c r="W43" s="6">
        <f>-PMT(Inputs!$C$17,Inputs!$C$18,$B$41)-W42</f>
        <v/>
      </c>
      <c r="X43" s="6">
        <f>-PMT(Inputs!$C$17,Inputs!$C$18,$B$41)-X42</f>
        <v/>
      </c>
      <c r="Y43" s="6">
        <f>-PMT(Inputs!$C$17,Inputs!$C$18,$B$41)-Y42</f>
        <v/>
      </c>
      <c r="Z43" s="6">
        <f>-PMT(Inputs!$C$17,Inputs!$C$18,$B$41)-Z42</f>
        <v/>
      </c>
      <c r="AA43" s="6">
        <f>-PMT(Inputs!$C$17,Inputs!$C$18,$B$41)-AA42</f>
        <v/>
      </c>
    </row>
    <row r="44">
      <c r="A44" s="3" t="inlineStr">
        <is>
          <t>Total P&amp;I Payment ($)</t>
        </is>
      </c>
      <c r="B44" s="6" t="n">
        <v>0</v>
      </c>
      <c r="C44" s="6">
        <f>C42+C43</f>
        <v/>
      </c>
      <c r="D44" s="6">
        <f>D42+D43</f>
        <v/>
      </c>
      <c r="E44" s="6">
        <f>E42+E43</f>
        <v/>
      </c>
      <c r="F44" s="6">
        <f>F42+F43</f>
        <v/>
      </c>
      <c r="G44" s="6">
        <f>G42+G43</f>
        <v/>
      </c>
      <c r="H44" s="6">
        <f>H42+H43</f>
        <v/>
      </c>
      <c r="I44" s="6">
        <f>I42+I43</f>
        <v/>
      </c>
      <c r="J44" s="6">
        <f>J42+J43</f>
        <v/>
      </c>
      <c r="K44" s="6">
        <f>K42+K43</f>
        <v/>
      </c>
      <c r="L44" s="6">
        <f>L42+L43</f>
        <v/>
      </c>
      <c r="M44" s="6">
        <f>M42+M43</f>
        <v/>
      </c>
      <c r="N44" s="6">
        <f>N42+N43</f>
        <v/>
      </c>
      <c r="O44" s="6">
        <f>O42+O43</f>
        <v/>
      </c>
      <c r="P44" s="6">
        <f>P42+P43</f>
        <v/>
      </c>
      <c r="Q44" s="6">
        <f>Q42+Q43</f>
        <v/>
      </c>
      <c r="R44" s="6">
        <f>R42+R43</f>
        <v/>
      </c>
      <c r="S44" s="6">
        <f>S42+S43</f>
        <v/>
      </c>
      <c r="T44" s="6">
        <f>T42+T43</f>
        <v/>
      </c>
      <c r="U44" s="6">
        <f>U42+U43</f>
        <v/>
      </c>
      <c r="V44" s="6">
        <f>V42+V43</f>
        <v/>
      </c>
      <c r="W44" s="6">
        <f>W42+W43</f>
        <v/>
      </c>
      <c r="X44" s="6">
        <f>X42+X43</f>
        <v/>
      </c>
      <c r="Y44" s="6">
        <f>Y42+Y43</f>
        <v/>
      </c>
      <c r="Z44" s="6">
        <f>Z42+Z43</f>
        <v/>
      </c>
      <c r="AA44" s="6">
        <f>AA42+AA43</f>
        <v/>
      </c>
    </row>
    <row r="45">
      <c r="A45" s="3" t="inlineStr">
        <is>
          <t>Bill w/o System ($)</t>
        </is>
      </c>
      <c r="B45" s="6" t="n">
        <v>0</v>
      </c>
      <c r="C45" s="10">
        <f>Inputs!$C$30</f>
        <v/>
      </c>
      <c r="D45" s="6">
        <f>C45*(1+Inputs!$C$20)</f>
        <v/>
      </c>
      <c r="E45" s="6">
        <f>D45*(1+Inputs!$C$20)</f>
        <v/>
      </c>
      <c r="F45" s="6">
        <f>E45*(1+Inputs!$C$20)</f>
        <v/>
      </c>
      <c r="G45" s="6">
        <f>F45*(1+Inputs!$C$20)</f>
        <v/>
      </c>
      <c r="H45" s="6">
        <f>G45*(1+Inputs!$C$20)</f>
        <v/>
      </c>
      <c r="I45" s="6">
        <f>H45*(1+Inputs!$C$20)</f>
        <v/>
      </c>
      <c r="J45" s="6">
        <f>I45*(1+Inputs!$C$20)</f>
        <v/>
      </c>
      <c r="K45" s="6">
        <f>J45*(1+Inputs!$C$20)</f>
        <v/>
      </c>
      <c r="L45" s="6">
        <f>K45*(1+Inputs!$C$20)</f>
        <v/>
      </c>
      <c r="M45" s="6">
        <f>L45*(1+Inputs!$C$20)</f>
        <v/>
      </c>
      <c r="N45" s="6">
        <f>M45*(1+Inputs!$C$20)</f>
        <v/>
      </c>
      <c r="O45" s="6">
        <f>N45*(1+Inputs!$C$20)</f>
        <v/>
      </c>
      <c r="P45" s="6">
        <f>O45*(1+Inputs!$C$20)</f>
        <v/>
      </c>
      <c r="Q45" s="6">
        <f>P45*(1+Inputs!$C$20)</f>
        <v/>
      </c>
      <c r="R45" s="6">
        <f>Q45*(1+Inputs!$C$20)</f>
        <v/>
      </c>
      <c r="S45" s="6">
        <f>R45*(1+Inputs!$C$20)</f>
        <v/>
      </c>
      <c r="T45" s="6">
        <f>S45*(1+Inputs!$C$20)</f>
        <v/>
      </c>
      <c r="U45" s="6">
        <f>T45*(1+Inputs!$C$20)</f>
        <v/>
      </c>
      <c r="V45" s="6">
        <f>U45*(1+Inputs!$C$20)</f>
        <v/>
      </c>
      <c r="W45" s="6">
        <f>V45*(1+Inputs!$C$20)</f>
        <v/>
      </c>
      <c r="X45" s="6">
        <f>W45*(1+Inputs!$C$20)</f>
        <v/>
      </c>
      <c r="Y45" s="6">
        <f>X45*(1+Inputs!$C$20)</f>
        <v/>
      </c>
      <c r="Z45" s="6">
        <f>Y45*(1+Inputs!$C$20)</f>
        <v/>
      </c>
      <c r="AA45" s="6">
        <f>Z45*(1+Inputs!$C$20)</f>
        <v/>
      </c>
    </row>
    <row r="46">
      <c r="A46" s="3" t="inlineStr">
        <is>
          <t>Bill w/ System ($)</t>
        </is>
      </c>
      <c r="B46" s="6" t="n">
        <v>0</v>
      </c>
      <c r="C46" s="10">
        <f>C45-Inputs!$D$46</f>
        <v/>
      </c>
      <c r="D46" s="6">
        <f>D45-Inputs!$D$46*(1+Inputs!$C$20)^(2-1)</f>
        <v/>
      </c>
      <c r="E46" s="6">
        <f>E45-Inputs!$D$46*(1+Inputs!$C$20)^(3-1)</f>
        <v/>
      </c>
      <c r="F46" s="6">
        <f>F45-Inputs!$D$46*(1+Inputs!$C$20)^(4-1)</f>
        <v/>
      </c>
      <c r="G46" s="6">
        <f>G45-Inputs!$D$46*(1+Inputs!$C$20)^(5-1)</f>
        <v/>
      </c>
      <c r="H46" s="6">
        <f>H45-Inputs!$D$46*(1+Inputs!$C$20)^(6-1)</f>
        <v/>
      </c>
      <c r="I46" s="6">
        <f>I45-Inputs!$D$46*(1+Inputs!$C$20)^(7-1)</f>
        <v/>
      </c>
      <c r="J46" s="6">
        <f>J45-Inputs!$D$46*(1+Inputs!$C$20)^(8-1)</f>
        <v/>
      </c>
      <c r="K46" s="6">
        <f>K45-Inputs!$D$46*(1+Inputs!$C$20)^(9-1)</f>
        <v/>
      </c>
      <c r="L46" s="6">
        <f>L45-Inputs!$D$46*(1+Inputs!$C$20)^(10-1)</f>
        <v/>
      </c>
      <c r="M46" s="6">
        <f>M45-Inputs!$D$46*(1+Inputs!$C$20)^(11-1)</f>
        <v/>
      </c>
      <c r="N46" s="6">
        <f>N45-Inputs!$D$46*(1+Inputs!$C$20)^(12-1)</f>
        <v/>
      </c>
      <c r="O46" s="6">
        <f>O45-Inputs!$D$46*(1+Inputs!$C$20)^(13-1)</f>
        <v/>
      </c>
      <c r="P46" s="6">
        <f>P45-Inputs!$D$46*(1+Inputs!$C$20)^(14-1)</f>
        <v/>
      </c>
      <c r="Q46" s="6">
        <f>Q45-Inputs!$D$46*(1+Inputs!$C$20)^(15-1)</f>
        <v/>
      </c>
      <c r="R46" s="6">
        <f>R45-Inputs!$D$46*(1+Inputs!$C$20)^(16-1)</f>
        <v/>
      </c>
      <c r="S46" s="6">
        <f>S45-Inputs!$D$46*(1+Inputs!$C$20)^(17-1)</f>
        <v/>
      </c>
      <c r="T46" s="6">
        <f>T45-Inputs!$D$46*(1+Inputs!$C$20)^(18-1)</f>
        <v/>
      </c>
      <c r="U46" s="6">
        <f>U45-Inputs!$D$46*(1+Inputs!$C$20)^(19-1)</f>
        <v/>
      </c>
      <c r="V46" s="6">
        <f>V45-Inputs!$D$46*(1+Inputs!$C$20)^(20-1)</f>
        <v/>
      </c>
      <c r="W46" s="6">
        <f>W45-Inputs!$D$46*(1+Inputs!$C$20)^(21-1)</f>
        <v/>
      </c>
      <c r="X46" s="6">
        <f>X45-Inputs!$D$46*(1+Inputs!$C$20)^(22-1)</f>
        <v/>
      </c>
      <c r="Y46" s="6">
        <f>Y45-Inputs!$D$46*(1+Inputs!$C$20)^(23-1)</f>
        <v/>
      </c>
      <c r="Z46" s="6">
        <f>Z45-Inputs!$D$46*(1+Inputs!$C$20)^(24-1)</f>
        <v/>
      </c>
      <c r="AA46" s="6">
        <f>AA45-Inputs!$D$46*(1+Inputs!$C$20)^(25-1)</f>
        <v/>
      </c>
    </row>
    <row r="47">
      <c r="A47" s="3" t="inlineStr">
        <is>
          <t>Bill Savings ($)</t>
        </is>
      </c>
      <c r="B47" s="6" t="n">
        <v>0</v>
      </c>
      <c r="C47" s="6">
        <f>C45-C46</f>
        <v/>
      </c>
      <c r="D47" s="6">
        <f>D45-D46</f>
        <v/>
      </c>
      <c r="E47" s="6">
        <f>E45-E46</f>
        <v/>
      </c>
      <c r="F47" s="6">
        <f>F45-F46</f>
        <v/>
      </c>
      <c r="G47" s="6">
        <f>G45-G46</f>
        <v/>
      </c>
      <c r="H47" s="6">
        <f>H45-H46</f>
        <v/>
      </c>
      <c r="I47" s="6">
        <f>I45-I46</f>
        <v/>
      </c>
      <c r="J47" s="6">
        <f>J45-J46</f>
        <v/>
      </c>
      <c r="K47" s="6">
        <f>K45-K46</f>
        <v/>
      </c>
      <c r="L47" s="6">
        <f>L45-L46</f>
        <v/>
      </c>
      <c r="M47" s="6">
        <f>M45-M46</f>
        <v/>
      </c>
      <c r="N47" s="6">
        <f>N45-N46</f>
        <v/>
      </c>
      <c r="O47" s="6">
        <f>O45-O46</f>
        <v/>
      </c>
      <c r="P47" s="6">
        <f>P45-P46</f>
        <v/>
      </c>
      <c r="Q47" s="6">
        <f>Q45-Q46</f>
        <v/>
      </c>
      <c r="R47" s="6">
        <f>R45-R46</f>
        <v/>
      </c>
      <c r="S47" s="6">
        <f>S45-S46</f>
        <v/>
      </c>
      <c r="T47" s="6">
        <f>T45-T46</f>
        <v/>
      </c>
      <c r="U47" s="6">
        <f>U45-U46</f>
        <v/>
      </c>
      <c r="V47" s="6">
        <f>V45-V46</f>
        <v/>
      </c>
      <c r="W47" s="6">
        <f>W45-W46</f>
        <v/>
      </c>
      <c r="X47" s="6">
        <f>X45-X46</f>
        <v/>
      </c>
      <c r="Y47" s="6">
        <f>Y45-Y46</f>
        <v/>
      </c>
      <c r="Z47" s="6">
        <f>Z45-Z46</f>
        <v/>
      </c>
      <c r="AA47" s="6">
        <f>AA45-AA46</f>
        <v/>
      </c>
    </row>
    <row r="48">
      <c r="A48" s="3" t="inlineStr">
        <is>
          <t>Incentive Annual ($)</t>
        </is>
      </c>
      <c r="B48" s="6" t="n">
        <v>0</v>
      </c>
      <c r="C48" s="10">
        <f>IF(1&lt;=Inputs!$C$38,Inputs!$C$36,0)+Inputs!$C$37</f>
        <v/>
      </c>
      <c r="D48" s="10">
        <f>IF(2&lt;=Inputs!$C$38,Inputs!$C$36,0)+Inputs!$C$37</f>
        <v/>
      </c>
      <c r="E48" s="10">
        <f>IF(3&lt;=Inputs!$C$38,Inputs!$C$36,0)+Inputs!$C$37</f>
        <v/>
      </c>
      <c r="F48" s="10">
        <f>IF(4&lt;=Inputs!$C$38,Inputs!$C$36,0)+Inputs!$C$37</f>
        <v/>
      </c>
      <c r="G48" s="10">
        <f>IF(5&lt;=Inputs!$C$38,Inputs!$C$36,0)+Inputs!$C$37</f>
        <v/>
      </c>
      <c r="H48" s="10">
        <f>IF(6&lt;=Inputs!$C$38,Inputs!$C$36,0)+Inputs!$C$37</f>
        <v/>
      </c>
      <c r="I48" s="10">
        <f>IF(7&lt;=Inputs!$C$38,Inputs!$C$36,0)+Inputs!$C$37</f>
        <v/>
      </c>
      <c r="J48" s="10">
        <f>IF(8&lt;=Inputs!$C$38,Inputs!$C$36,0)+Inputs!$C$37</f>
        <v/>
      </c>
      <c r="K48" s="10">
        <f>IF(9&lt;=Inputs!$C$38,Inputs!$C$36,0)+Inputs!$C$37</f>
        <v/>
      </c>
      <c r="L48" s="10">
        <f>IF(10&lt;=Inputs!$C$38,Inputs!$C$36,0)+Inputs!$C$37</f>
        <v/>
      </c>
      <c r="M48" s="10">
        <f>IF(11&lt;=Inputs!$C$38,Inputs!$C$36,0)+Inputs!$C$37</f>
        <v/>
      </c>
      <c r="N48" s="10">
        <f>IF(12&lt;=Inputs!$C$38,Inputs!$C$36,0)+Inputs!$C$37</f>
        <v/>
      </c>
      <c r="O48" s="10">
        <f>IF(13&lt;=Inputs!$C$38,Inputs!$C$36,0)+Inputs!$C$37</f>
        <v/>
      </c>
      <c r="P48" s="10">
        <f>IF(14&lt;=Inputs!$C$38,Inputs!$C$36,0)+Inputs!$C$37</f>
        <v/>
      </c>
      <c r="Q48" s="10">
        <f>IF(15&lt;=Inputs!$C$38,Inputs!$C$36,0)+Inputs!$C$37</f>
        <v/>
      </c>
      <c r="R48" s="10">
        <f>IF(16&lt;=Inputs!$C$38,Inputs!$C$36,0)+Inputs!$C$37</f>
        <v/>
      </c>
      <c r="S48" s="10">
        <f>IF(17&lt;=Inputs!$C$38,Inputs!$C$36,0)+Inputs!$C$37</f>
        <v/>
      </c>
      <c r="T48" s="10">
        <f>IF(18&lt;=Inputs!$C$38,Inputs!$C$36,0)+Inputs!$C$37</f>
        <v/>
      </c>
      <c r="U48" s="10">
        <f>IF(19&lt;=Inputs!$C$38,Inputs!$C$36,0)+Inputs!$C$37</f>
        <v/>
      </c>
      <c r="V48" s="10">
        <f>IF(20&lt;=Inputs!$C$38,Inputs!$C$36,0)+Inputs!$C$37</f>
        <v/>
      </c>
      <c r="W48" s="10">
        <f>IF(21&lt;=Inputs!$C$38,Inputs!$C$36,0)+Inputs!$C$37</f>
        <v/>
      </c>
      <c r="X48" s="10">
        <f>IF(22&lt;=Inputs!$C$38,Inputs!$C$36,0)+Inputs!$C$37</f>
        <v/>
      </c>
      <c r="Y48" s="10">
        <f>IF(23&lt;=Inputs!$C$38,Inputs!$C$36,0)+Inputs!$C$37</f>
        <v/>
      </c>
      <c r="Z48" s="10">
        <f>IF(24&lt;=Inputs!$C$38,Inputs!$C$36,0)+Inputs!$C$37</f>
        <v/>
      </c>
      <c r="AA48" s="10">
        <f>IF(25&lt;=Inputs!$C$38,Inputs!$C$36,0)+Inputs!$C$37</f>
        <v/>
      </c>
    </row>
    <row r="49">
      <c r="A49" s="3" t="inlineStr">
        <is>
          <t>Total Savings ($)</t>
        </is>
      </c>
      <c r="B49" s="6" t="n">
        <v>0</v>
      </c>
      <c r="C49" s="6">
        <f>C47+C48</f>
        <v/>
      </c>
      <c r="D49" s="6">
        <f>D47+D48</f>
        <v/>
      </c>
      <c r="E49" s="6">
        <f>E47+E48</f>
        <v/>
      </c>
      <c r="F49" s="6">
        <f>F47+F48</f>
        <v/>
      </c>
      <c r="G49" s="6">
        <f>G47+G48</f>
        <v/>
      </c>
      <c r="H49" s="6">
        <f>H47+H48</f>
        <v/>
      </c>
      <c r="I49" s="6">
        <f>I47+I48</f>
        <v/>
      </c>
      <c r="J49" s="6">
        <f>J47+J48</f>
        <v/>
      </c>
      <c r="K49" s="6">
        <f>K47+K48</f>
        <v/>
      </c>
      <c r="L49" s="6">
        <f>L47+L48</f>
        <v/>
      </c>
      <c r="M49" s="6">
        <f>M47+M48</f>
        <v/>
      </c>
      <c r="N49" s="6">
        <f>N47+N48</f>
        <v/>
      </c>
      <c r="O49" s="6">
        <f>O47+O48</f>
        <v/>
      </c>
      <c r="P49" s="6">
        <f>P47+P48</f>
        <v/>
      </c>
      <c r="Q49" s="6">
        <f>Q47+Q48</f>
        <v/>
      </c>
      <c r="R49" s="6">
        <f>R47+R48</f>
        <v/>
      </c>
      <c r="S49" s="6">
        <f>S47+S48</f>
        <v/>
      </c>
      <c r="T49" s="6">
        <f>T47+T48</f>
        <v/>
      </c>
      <c r="U49" s="6">
        <f>U47+U48</f>
        <v/>
      </c>
      <c r="V49" s="6">
        <f>V47+V48</f>
        <v/>
      </c>
      <c r="W49" s="6">
        <f>W47+W48</f>
        <v/>
      </c>
      <c r="X49" s="6">
        <f>X47+X48</f>
        <v/>
      </c>
      <c r="Y49" s="6">
        <f>Y47+Y48</f>
        <v/>
      </c>
      <c r="Z49" s="6">
        <f>Z47+Z48</f>
        <v/>
      </c>
      <c r="AA49" s="6">
        <f>AA47+AA48</f>
        <v/>
      </c>
    </row>
    <row r="50">
      <c r="A50" s="3" t="inlineStr">
        <is>
          <t>Net Savings ($)</t>
        </is>
      </c>
      <c r="B50" s="6" t="n">
        <v>0</v>
      </c>
      <c r="C50" s="6">
        <f>C49-C44</f>
        <v/>
      </c>
      <c r="D50" s="6">
        <f>D49-D44</f>
        <v/>
      </c>
      <c r="E50" s="6">
        <f>E49-E44</f>
        <v/>
      </c>
      <c r="F50" s="6">
        <f>F49-F44</f>
        <v/>
      </c>
      <c r="G50" s="6">
        <f>G49-G44</f>
        <v/>
      </c>
      <c r="H50" s="6">
        <f>H49-H44</f>
        <v/>
      </c>
      <c r="I50" s="6">
        <f>I49-I44</f>
        <v/>
      </c>
      <c r="J50" s="6">
        <f>J49-J44</f>
        <v/>
      </c>
      <c r="K50" s="6">
        <f>K49-K44</f>
        <v/>
      </c>
      <c r="L50" s="6">
        <f>L49-L44</f>
        <v/>
      </c>
      <c r="M50" s="6">
        <f>M49-M44</f>
        <v/>
      </c>
      <c r="N50" s="6">
        <f>N49-N44</f>
        <v/>
      </c>
      <c r="O50" s="6">
        <f>O49-O44</f>
        <v/>
      </c>
      <c r="P50" s="6">
        <f>P49-P44</f>
        <v/>
      </c>
      <c r="Q50" s="6">
        <f>Q49-Q44</f>
        <v/>
      </c>
      <c r="R50" s="6">
        <f>R49-R44</f>
        <v/>
      </c>
      <c r="S50" s="6">
        <f>S49-S44</f>
        <v/>
      </c>
      <c r="T50" s="6">
        <f>T49-T44</f>
        <v/>
      </c>
      <c r="U50" s="6">
        <f>U49-U44</f>
        <v/>
      </c>
      <c r="V50" s="6">
        <f>V49-V44</f>
        <v/>
      </c>
      <c r="W50" s="6">
        <f>W49-W44</f>
        <v/>
      </c>
      <c r="X50" s="6">
        <f>X49-X44</f>
        <v/>
      </c>
      <c r="Y50" s="6">
        <f>Y49-Y44</f>
        <v/>
      </c>
      <c r="Z50" s="6">
        <f>Z49-Z44</f>
        <v/>
      </c>
      <c r="AA50" s="6">
        <f>AA49-AA44</f>
        <v/>
      </c>
    </row>
    <row r="51">
      <c r="A51" s="3" t="inlineStr">
        <is>
          <t>Cumulative NPV ($)</t>
        </is>
      </c>
      <c r="B51" s="6" t="n">
        <v>0</v>
      </c>
      <c r="C51" s="6">
        <f>C50/(1+Inputs!$C$19)^1</f>
        <v/>
      </c>
      <c r="D51" s="6">
        <f>C51+D50/(1+Inputs!$C$19)^2</f>
        <v/>
      </c>
      <c r="E51" s="6">
        <f>D51+E50/(1+Inputs!$C$19)^3</f>
        <v/>
      </c>
      <c r="F51" s="6">
        <f>E51+F50/(1+Inputs!$C$19)^4</f>
        <v/>
      </c>
      <c r="G51" s="6">
        <f>F51+G50/(1+Inputs!$C$19)^5</f>
        <v/>
      </c>
      <c r="H51" s="6">
        <f>G51+H50/(1+Inputs!$C$19)^6</f>
        <v/>
      </c>
      <c r="I51" s="6">
        <f>H51+I50/(1+Inputs!$C$19)^7</f>
        <v/>
      </c>
      <c r="J51" s="6">
        <f>I51+J50/(1+Inputs!$C$19)^8</f>
        <v/>
      </c>
      <c r="K51" s="6">
        <f>J51+K50/(1+Inputs!$C$19)^9</f>
        <v/>
      </c>
      <c r="L51" s="6">
        <f>K51+L50/(1+Inputs!$C$19)^10</f>
        <v/>
      </c>
      <c r="M51" s="6">
        <f>L51+M50/(1+Inputs!$C$19)^11</f>
        <v/>
      </c>
      <c r="N51" s="6">
        <f>M51+N50/(1+Inputs!$C$19)^12</f>
        <v/>
      </c>
      <c r="O51" s="6">
        <f>N51+O50/(1+Inputs!$C$19)^13</f>
        <v/>
      </c>
      <c r="P51" s="6">
        <f>O51+P50/(1+Inputs!$C$19)^14</f>
        <v/>
      </c>
      <c r="Q51" s="6">
        <f>P51+Q50/(1+Inputs!$C$19)^15</f>
        <v/>
      </c>
      <c r="R51" s="6">
        <f>Q51+R50/(1+Inputs!$C$19)^16</f>
        <v/>
      </c>
      <c r="S51" s="6">
        <f>R51+S50/(1+Inputs!$C$19)^17</f>
        <v/>
      </c>
      <c r="T51" s="6">
        <f>S51+T50/(1+Inputs!$C$19)^18</f>
        <v/>
      </c>
      <c r="U51" s="6">
        <f>T51+U50/(1+Inputs!$C$19)^19</f>
        <v/>
      </c>
      <c r="V51" s="6">
        <f>U51+V50/(1+Inputs!$C$19)^20</f>
        <v/>
      </c>
      <c r="W51" s="6">
        <f>V51+W50/(1+Inputs!$C$19)^21</f>
        <v/>
      </c>
      <c r="X51" s="6">
        <f>W51+X50/(1+Inputs!$C$19)^22</f>
        <v/>
      </c>
      <c r="Y51" s="6">
        <f>X51+Y50/(1+Inputs!$C$19)^23</f>
        <v/>
      </c>
      <c r="Z51" s="6">
        <f>Y51+Z50/(1+Inputs!$C$19)^24</f>
        <v/>
      </c>
      <c r="AA51" s="6">
        <f>Z51+AA50/(1+Inputs!$C$19)^25</f>
        <v/>
      </c>
    </row>
    <row r="52">
      <c r="A52" s="11" t="inlineStr">
        <is>
          <t>Simple Payback (yr)</t>
        </is>
      </c>
      <c r="B52" s="12">
        <f>IF((C47+C48)&gt;0,B41/(C47+C48),"N/A")</f>
        <v/>
      </c>
    </row>
    <row r="53">
      <c r="A53" s="11" t="inlineStr">
        <is>
          <t>NPV Breakeven Year</t>
        </is>
      </c>
      <c r="B53" s="5" t="inlineStr">
        <is>
          <t>See Cumulative NPV row 51 for first year ≥ 0</t>
        </is>
      </c>
    </row>
    <row r="54"/>
    <row r="55"/>
    <row r="56">
      <c r="A56" s="8" t="inlineStr">
        <is>
          <t>PV+Storage — No Incentives</t>
        </is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</row>
    <row r="57">
      <c r="A57" s="2" t="inlineStr">
        <is>
          <t>Year</t>
        </is>
      </c>
      <c r="B57" s="3" t="n">
        <v>0</v>
      </c>
      <c r="C57" s="3" t="n">
        <v>1</v>
      </c>
      <c r="D57" s="3" t="n">
        <v>2</v>
      </c>
      <c r="E57" s="3" t="n">
        <v>3</v>
      </c>
      <c r="F57" s="3" t="n">
        <v>4</v>
      </c>
      <c r="G57" s="3" t="n">
        <v>5</v>
      </c>
      <c r="H57" s="3" t="n">
        <v>6</v>
      </c>
      <c r="I57" s="3" t="n">
        <v>7</v>
      </c>
      <c r="J57" s="3" t="n">
        <v>8</v>
      </c>
      <c r="K57" s="3" t="n">
        <v>9</v>
      </c>
      <c r="L57" s="3" t="n">
        <v>10</v>
      </c>
      <c r="M57" s="3" t="n">
        <v>11</v>
      </c>
      <c r="N57" s="3" t="n">
        <v>12</v>
      </c>
      <c r="O57" s="3" t="n">
        <v>13</v>
      </c>
      <c r="P57" s="3" t="n">
        <v>14</v>
      </c>
      <c r="Q57" s="3" t="n">
        <v>15</v>
      </c>
      <c r="R57" s="3" t="n">
        <v>16</v>
      </c>
      <c r="S57" s="3" t="n">
        <v>17</v>
      </c>
      <c r="T57" s="3" t="n">
        <v>18</v>
      </c>
      <c r="U57" s="3" t="n">
        <v>19</v>
      </c>
      <c r="V57" s="3" t="n">
        <v>20</v>
      </c>
      <c r="W57" s="3" t="n">
        <v>21</v>
      </c>
      <c r="X57" s="3" t="n">
        <v>22</v>
      </c>
      <c r="Y57" s="3" t="n">
        <v>23</v>
      </c>
      <c r="Z57" s="3" t="n">
        <v>24</v>
      </c>
      <c r="AA57" s="3" t="n">
        <v>25</v>
      </c>
    </row>
    <row r="58">
      <c r="A58" s="3" t="inlineStr">
        <is>
          <t>Debt Balance ($)</t>
        </is>
      </c>
      <c r="B58" s="6">
        <f>Inputs!C14</f>
        <v/>
      </c>
      <c r="C58" s="6">
        <f>B58-C60</f>
        <v/>
      </c>
      <c r="D58" s="6">
        <f>C58-D60</f>
        <v/>
      </c>
      <c r="E58" s="6">
        <f>D58-E60</f>
        <v/>
      </c>
      <c r="F58" s="6">
        <f>E58-F60</f>
        <v/>
      </c>
      <c r="G58" s="6">
        <f>F58-G60</f>
        <v/>
      </c>
      <c r="H58" s="6">
        <f>G58-H60</f>
        <v/>
      </c>
      <c r="I58" s="6">
        <f>H58-I60</f>
        <v/>
      </c>
      <c r="J58" s="6">
        <f>I58-J60</f>
        <v/>
      </c>
      <c r="K58" s="6">
        <f>J58-K60</f>
        <v/>
      </c>
      <c r="L58" s="6">
        <f>K58-L60</f>
        <v/>
      </c>
      <c r="M58" s="6">
        <f>L58-M60</f>
        <v/>
      </c>
      <c r="N58" s="6">
        <f>M58-N60</f>
        <v/>
      </c>
      <c r="O58" s="6">
        <f>N58-O60</f>
        <v/>
      </c>
      <c r="P58" s="6">
        <f>O58-P60</f>
        <v/>
      </c>
      <c r="Q58" s="6">
        <f>P58-Q60</f>
        <v/>
      </c>
      <c r="R58" s="6">
        <f>Q58-R60</f>
        <v/>
      </c>
      <c r="S58" s="6">
        <f>R58-S60</f>
        <v/>
      </c>
      <c r="T58" s="6">
        <f>S58-T60</f>
        <v/>
      </c>
      <c r="U58" s="6">
        <f>T58-U60</f>
        <v/>
      </c>
      <c r="V58" s="6">
        <f>U58-V60</f>
        <v/>
      </c>
      <c r="W58" s="6">
        <f>V58-W60</f>
        <v/>
      </c>
      <c r="X58" s="6">
        <f>W58-X60</f>
        <v/>
      </c>
      <c r="Y58" s="6">
        <f>X58-Y60</f>
        <v/>
      </c>
      <c r="Z58" s="6">
        <f>Y58-Z60</f>
        <v/>
      </c>
      <c r="AA58" s="6">
        <f>Z58-AA60</f>
        <v/>
      </c>
    </row>
    <row r="59">
      <c r="A59" s="3" t="inlineStr">
        <is>
          <t>Interest Payment ($)</t>
        </is>
      </c>
      <c r="B59" s="6" t="n">
        <v>0</v>
      </c>
      <c r="C59" s="6">
        <f>B58*Inputs!$C$17</f>
        <v/>
      </c>
      <c r="D59" s="6">
        <f>C58*Inputs!$C$17</f>
        <v/>
      </c>
      <c r="E59" s="6">
        <f>D58*Inputs!$C$17</f>
        <v/>
      </c>
      <c r="F59" s="6">
        <f>E58*Inputs!$C$17</f>
        <v/>
      </c>
      <c r="G59" s="6">
        <f>F58*Inputs!$C$17</f>
        <v/>
      </c>
      <c r="H59" s="6">
        <f>G58*Inputs!$C$17</f>
        <v/>
      </c>
      <c r="I59" s="6">
        <f>H58*Inputs!$C$17</f>
        <v/>
      </c>
      <c r="J59" s="6">
        <f>I58*Inputs!$C$17</f>
        <v/>
      </c>
      <c r="K59" s="6">
        <f>J58*Inputs!$C$17</f>
        <v/>
      </c>
      <c r="L59" s="6">
        <f>K58*Inputs!$C$17</f>
        <v/>
      </c>
      <c r="M59" s="6">
        <f>L58*Inputs!$C$17</f>
        <v/>
      </c>
      <c r="N59" s="6">
        <f>M58*Inputs!$C$17</f>
        <v/>
      </c>
      <c r="O59" s="6">
        <f>N58*Inputs!$C$17</f>
        <v/>
      </c>
      <c r="P59" s="6">
        <f>O58*Inputs!$C$17</f>
        <v/>
      </c>
      <c r="Q59" s="6">
        <f>P58*Inputs!$C$17</f>
        <v/>
      </c>
      <c r="R59" s="6">
        <f>Q58*Inputs!$C$17</f>
        <v/>
      </c>
      <c r="S59" s="6">
        <f>R58*Inputs!$C$17</f>
        <v/>
      </c>
      <c r="T59" s="6">
        <f>S58*Inputs!$C$17</f>
        <v/>
      </c>
      <c r="U59" s="6">
        <f>T58*Inputs!$C$17</f>
        <v/>
      </c>
      <c r="V59" s="6">
        <f>U58*Inputs!$C$17</f>
        <v/>
      </c>
      <c r="W59" s="6">
        <f>V58*Inputs!$C$17</f>
        <v/>
      </c>
      <c r="X59" s="6">
        <f>W58*Inputs!$C$17</f>
        <v/>
      </c>
      <c r="Y59" s="6">
        <f>X58*Inputs!$C$17</f>
        <v/>
      </c>
      <c r="Z59" s="6">
        <f>Y58*Inputs!$C$17</f>
        <v/>
      </c>
      <c r="AA59" s="6">
        <f>Z58*Inputs!$C$17</f>
        <v/>
      </c>
    </row>
    <row r="60">
      <c r="A60" s="3" t="inlineStr">
        <is>
          <t>Principal Payment ($)</t>
        </is>
      </c>
      <c r="B60" s="6" t="n">
        <v>0</v>
      </c>
      <c r="C60" s="6">
        <f>-PMT(Inputs!$C$17,Inputs!$C$18,$B$58)-C59</f>
        <v/>
      </c>
      <c r="D60" s="6">
        <f>-PMT(Inputs!$C$17,Inputs!$C$18,$B$58)-D59</f>
        <v/>
      </c>
      <c r="E60" s="6">
        <f>-PMT(Inputs!$C$17,Inputs!$C$18,$B$58)-E59</f>
        <v/>
      </c>
      <c r="F60" s="6">
        <f>-PMT(Inputs!$C$17,Inputs!$C$18,$B$58)-F59</f>
        <v/>
      </c>
      <c r="G60" s="6">
        <f>-PMT(Inputs!$C$17,Inputs!$C$18,$B$58)-G59</f>
        <v/>
      </c>
      <c r="H60" s="6">
        <f>-PMT(Inputs!$C$17,Inputs!$C$18,$B$58)-H59</f>
        <v/>
      </c>
      <c r="I60" s="6">
        <f>-PMT(Inputs!$C$17,Inputs!$C$18,$B$58)-I59</f>
        <v/>
      </c>
      <c r="J60" s="6">
        <f>-PMT(Inputs!$C$17,Inputs!$C$18,$B$58)-J59</f>
        <v/>
      </c>
      <c r="K60" s="6">
        <f>-PMT(Inputs!$C$17,Inputs!$C$18,$B$58)-K59</f>
        <v/>
      </c>
      <c r="L60" s="6">
        <f>-PMT(Inputs!$C$17,Inputs!$C$18,$B$58)-L59</f>
        <v/>
      </c>
      <c r="M60" s="6">
        <f>-PMT(Inputs!$C$17,Inputs!$C$18,$B$58)-M59</f>
        <v/>
      </c>
      <c r="N60" s="6">
        <f>-PMT(Inputs!$C$17,Inputs!$C$18,$B$58)-N59</f>
        <v/>
      </c>
      <c r="O60" s="6">
        <f>-PMT(Inputs!$C$17,Inputs!$C$18,$B$58)-O59</f>
        <v/>
      </c>
      <c r="P60" s="6">
        <f>-PMT(Inputs!$C$17,Inputs!$C$18,$B$58)-P59</f>
        <v/>
      </c>
      <c r="Q60" s="6">
        <f>-PMT(Inputs!$C$17,Inputs!$C$18,$B$58)-Q59</f>
        <v/>
      </c>
      <c r="R60" s="6">
        <f>-PMT(Inputs!$C$17,Inputs!$C$18,$B$58)-R59</f>
        <v/>
      </c>
      <c r="S60" s="6">
        <f>-PMT(Inputs!$C$17,Inputs!$C$18,$B$58)-S59</f>
        <v/>
      </c>
      <c r="T60" s="6">
        <f>-PMT(Inputs!$C$17,Inputs!$C$18,$B$58)-T59</f>
        <v/>
      </c>
      <c r="U60" s="6">
        <f>-PMT(Inputs!$C$17,Inputs!$C$18,$B$58)-U59</f>
        <v/>
      </c>
      <c r="V60" s="6">
        <f>-PMT(Inputs!$C$17,Inputs!$C$18,$B$58)-V59</f>
        <v/>
      </c>
      <c r="W60" s="6">
        <f>-PMT(Inputs!$C$17,Inputs!$C$18,$B$58)-W59</f>
        <v/>
      </c>
      <c r="X60" s="6">
        <f>-PMT(Inputs!$C$17,Inputs!$C$18,$B$58)-X59</f>
        <v/>
      </c>
      <c r="Y60" s="6">
        <f>-PMT(Inputs!$C$17,Inputs!$C$18,$B$58)-Y59</f>
        <v/>
      </c>
      <c r="Z60" s="6">
        <f>-PMT(Inputs!$C$17,Inputs!$C$18,$B$58)-Z59</f>
        <v/>
      </c>
      <c r="AA60" s="6">
        <f>-PMT(Inputs!$C$17,Inputs!$C$18,$B$58)-AA59</f>
        <v/>
      </c>
    </row>
    <row r="61">
      <c r="A61" s="3" t="inlineStr">
        <is>
          <t>Total P&amp;I Payment ($)</t>
        </is>
      </c>
      <c r="B61" s="6" t="n">
        <v>0</v>
      </c>
      <c r="C61" s="6">
        <f>C59+C60</f>
        <v/>
      </c>
      <c r="D61" s="6">
        <f>D59+D60</f>
        <v/>
      </c>
      <c r="E61" s="6">
        <f>E59+E60</f>
        <v/>
      </c>
      <c r="F61" s="6">
        <f>F59+F60</f>
        <v/>
      </c>
      <c r="G61" s="6">
        <f>G59+G60</f>
        <v/>
      </c>
      <c r="H61" s="6">
        <f>H59+H60</f>
        <v/>
      </c>
      <c r="I61" s="6">
        <f>I59+I60</f>
        <v/>
      </c>
      <c r="J61" s="6">
        <f>J59+J60</f>
        <v/>
      </c>
      <c r="K61" s="6">
        <f>K59+K60</f>
        <v/>
      </c>
      <c r="L61" s="6">
        <f>L59+L60</f>
        <v/>
      </c>
      <c r="M61" s="6">
        <f>M59+M60</f>
        <v/>
      </c>
      <c r="N61" s="6">
        <f>N59+N60</f>
        <v/>
      </c>
      <c r="O61" s="6">
        <f>O59+O60</f>
        <v/>
      </c>
      <c r="P61" s="6">
        <f>P59+P60</f>
        <v/>
      </c>
      <c r="Q61" s="6">
        <f>Q59+Q60</f>
        <v/>
      </c>
      <c r="R61" s="6">
        <f>R59+R60</f>
        <v/>
      </c>
      <c r="S61" s="6">
        <f>S59+S60</f>
        <v/>
      </c>
      <c r="T61" s="6">
        <f>T59+T60</f>
        <v/>
      </c>
      <c r="U61" s="6">
        <f>U59+U60</f>
        <v/>
      </c>
      <c r="V61" s="6">
        <f>V59+V60</f>
        <v/>
      </c>
      <c r="W61" s="6">
        <f>W59+W60</f>
        <v/>
      </c>
      <c r="X61" s="6">
        <f>X59+X60</f>
        <v/>
      </c>
      <c r="Y61" s="6">
        <f>Y59+Y60</f>
        <v/>
      </c>
      <c r="Z61" s="6">
        <f>Z59+Z60</f>
        <v/>
      </c>
      <c r="AA61" s="6">
        <f>AA59+AA60</f>
        <v/>
      </c>
    </row>
    <row r="62">
      <c r="A62" s="3" t="inlineStr">
        <is>
          <t>Bill w/o System ($)</t>
        </is>
      </c>
      <c r="B62" s="6" t="n">
        <v>0</v>
      </c>
      <c r="C62" s="10">
        <f>Inputs!$C$30</f>
        <v/>
      </c>
      <c r="D62" s="6">
        <f>C62*(1+Inputs!$C$20)</f>
        <v/>
      </c>
      <c r="E62" s="6">
        <f>D62*(1+Inputs!$C$20)</f>
        <v/>
      </c>
      <c r="F62" s="6">
        <f>E62*(1+Inputs!$C$20)</f>
        <v/>
      </c>
      <c r="G62" s="6">
        <f>F62*(1+Inputs!$C$20)</f>
        <v/>
      </c>
      <c r="H62" s="6">
        <f>G62*(1+Inputs!$C$20)</f>
        <v/>
      </c>
      <c r="I62" s="6">
        <f>H62*(1+Inputs!$C$20)</f>
        <v/>
      </c>
      <c r="J62" s="6">
        <f>I62*(1+Inputs!$C$20)</f>
        <v/>
      </c>
      <c r="K62" s="6">
        <f>J62*(1+Inputs!$C$20)</f>
        <v/>
      </c>
      <c r="L62" s="6">
        <f>K62*(1+Inputs!$C$20)</f>
        <v/>
      </c>
      <c r="M62" s="6">
        <f>L62*(1+Inputs!$C$20)</f>
        <v/>
      </c>
      <c r="N62" s="6">
        <f>M62*(1+Inputs!$C$20)</f>
        <v/>
      </c>
      <c r="O62" s="6">
        <f>N62*(1+Inputs!$C$20)</f>
        <v/>
      </c>
      <c r="P62" s="6">
        <f>O62*(1+Inputs!$C$20)</f>
        <v/>
      </c>
      <c r="Q62" s="6">
        <f>P62*(1+Inputs!$C$20)</f>
        <v/>
      </c>
      <c r="R62" s="6">
        <f>Q62*(1+Inputs!$C$20)</f>
        <v/>
      </c>
      <c r="S62" s="6">
        <f>R62*(1+Inputs!$C$20)</f>
        <v/>
      </c>
      <c r="T62" s="6">
        <f>S62*(1+Inputs!$C$20)</f>
        <v/>
      </c>
      <c r="U62" s="6">
        <f>T62*(1+Inputs!$C$20)</f>
        <v/>
      </c>
      <c r="V62" s="6">
        <f>U62*(1+Inputs!$C$20)</f>
        <v/>
      </c>
      <c r="W62" s="6">
        <f>V62*(1+Inputs!$C$20)</f>
        <v/>
      </c>
      <c r="X62" s="6">
        <f>W62*(1+Inputs!$C$20)</f>
        <v/>
      </c>
      <c r="Y62" s="6">
        <f>X62*(1+Inputs!$C$20)</f>
        <v/>
      </c>
      <c r="Z62" s="6">
        <f>Y62*(1+Inputs!$C$20)</f>
        <v/>
      </c>
      <c r="AA62" s="6">
        <f>Z62*(1+Inputs!$C$20)</f>
        <v/>
      </c>
    </row>
    <row r="63">
      <c r="A63" s="3" t="inlineStr">
        <is>
          <t>Bill w/ System ($)</t>
        </is>
      </c>
      <c r="B63" s="6" t="n">
        <v>0</v>
      </c>
      <c r="C63" s="10">
        <f>C62-Inputs!$D$46</f>
        <v/>
      </c>
      <c r="D63" s="6">
        <f>D62-Inputs!$D$46*(1+Inputs!$C$20)^(2-1)</f>
        <v/>
      </c>
      <c r="E63" s="6">
        <f>E62-Inputs!$D$46*(1+Inputs!$C$20)^(3-1)</f>
        <v/>
      </c>
      <c r="F63" s="6">
        <f>F62-Inputs!$D$46*(1+Inputs!$C$20)^(4-1)</f>
        <v/>
      </c>
      <c r="G63" s="6">
        <f>G62-Inputs!$D$46*(1+Inputs!$C$20)^(5-1)</f>
        <v/>
      </c>
      <c r="H63" s="6">
        <f>H62-Inputs!$D$46*(1+Inputs!$C$20)^(6-1)</f>
        <v/>
      </c>
      <c r="I63" s="6">
        <f>I62-Inputs!$D$46*(1+Inputs!$C$20)^(7-1)</f>
        <v/>
      </c>
      <c r="J63" s="6">
        <f>J62-Inputs!$D$46*(1+Inputs!$C$20)^(8-1)</f>
        <v/>
      </c>
      <c r="K63" s="6">
        <f>K62-Inputs!$D$46*(1+Inputs!$C$20)^(9-1)</f>
        <v/>
      </c>
      <c r="L63" s="6">
        <f>L62-Inputs!$D$46*(1+Inputs!$C$20)^(10-1)</f>
        <v/>
      </c>
      <c r="M63" s="6">
        <f>M62-Inputs!$D$46*(1+Inputs!$C$20)^(11-1)</f>
        <v/>
      </c>
      <c r="N63" s="6">
        <f>N62-Inputs!$D$46*(1+Inputs!$C$20)^(12-1)</f>
        <v/>
      </c>
      <c r="O63" s="6">
        <f>O62-Inputs!$D$46*(1+Inputs!$C$20)^(13-1)</f>
        <v/>
      </c>
      <c r="P63" s="6">
        <f>P62-Inputs!$D$46*(1+Inputs!$C$20)^(14-1)</f>
        <v/>
      </c>
      <c r="Q63" s="6">
        <f>Q62-Inputs!$D$46*(1+Inputs!$C$20)^(15-1)</f>
        <v/>
      </c>
      <c r="R63" s="6">
        <f>R62-Inputs!$D$46*(1+Inputs!$C$20)^(16-1)</f>
        <v/>
      </c>
      <c r="S63" s="6">
        <f>S62-Inputs!$D$46*(1+Inputs!$C$20)^(17-1)</f>
        <v/>
      </c>
      <c r="T63" s="6">
        <f>T62-Inputs!$D$46*(1+Inputs!$C$20)^(18-1)</f>
        <v/>
      </c>
      <c r="U63" s="6">
        <f>U62-Inputs!$D$46*(1+Inputs!$C$20)^(19-1)</f>
        <v/>
      </c>
      <c r="V63" s="6">
        <f>V62-Inputs!$D$46*(1+Inputs!$C$20)^(20-1)</f>
        <v/>
      </c>
      <c r="W63" s="6">
        <f>W62-Inputs!$D$46*(1+Inputs!$C$20)^(21-1)</f>
        <v/>
      </c>
      <c r="X63" s="6">
        <f>X62-Inputs!$D$46*(1+Inputs!$C$20)^(22-1)</f>
        <v/>
      </c>
      <c r="Y63" s="6">
        <f>Y62-Inputs!$D$46*(1+Inputs!$C$20)^(23-1)</f>
        <v/>
      </c>
      <c r="Z63" s="6">
        <f>Z62-Inputs!$D$46*(1+Inputs!$C$20)^(24-1)</f>
        <v/>
      </c>
      <c r="AA63" s="6">
        <f>AA62-Inputs!$D$46*(1+Inputs!$C$20)^(25-1)</f>
        <v/>
      </c>
    </row>
    <row r="64">
      <c r="A64" s="3" t="inlineStr">
        <is>
          <t>Bill Savings ($)</t>
        </is>
      </c>
      <c r="B64" s="6" t="n">
        <v>0</v>
      </c>
      <c r="C64" s="6">
        <f>C62-C63</f>
        <v/>
      </c>
      <c r="D64" s="6">
        <f>D62-D63</f>
        <v/>
      </c>
      <c r="E64" s="6">
        <f>E62-E63</f>
        <v/>
      </c>
      <c r="F64" s="6">
        <f>F62-F63</f>
        <v/>
      </c>
      <c r="G64" s="6">
        <f>G62-G63</f>
        <v/>
      </c>
      <c r="H64" s="6">
        <f>H62-H63</f>
        <v/>
      </c>
      <c r="I64" s="6">
        <f>I62-I63</f>
        <v/>
      </c>
      <c r="J64" s="6">
        <f>J62-J63</f>
        <v/>
      </c>
      <c r="K64" s="6">
        <f>K62-K63</f>
        <v/>
      </c>
      <c r="L64" s="6">
        <f>L62-L63</f>
        <v/>
      </c>
      <c r="M64" s="6">
        <f>M62-M63</f>
        <v/>
      </c>
      <c r="N64" s="6">
        <f>N62-N63</f>
        <v/>
      </c>
      <c r="O64" s="6">
        <f>O62-O63</f>
        <v/>
      </c>
      <c r="P64" s="6">
        <f>P62-P63</f>
        <v/>
      </c>
      <c r="Q64" s="6">
        <f>Q62-Q63</f>
        <v/>
      </c>
      <c r="R64" s="6">
        <f>R62-R63</f>
        <v/>
      </c>
      <c r="S64" s="6">
        <f>S62-S63</f>
        <v/>
      </c>
      <c r="T64" s="6">
        <f>T62-T63</f>
        <v/>
      </c>
      <c r="U64" s="6">
        <f>U62-U63</f>
        <v/>
      </c>
      <c r="V64" s="6">
        <f>V62-V63</f>
        <v/>
      </c>
      <c r="W64" s="6">
        <f>W62-W63</f>
        <v/>
      </c>
      <c r="X64" s="6">
        <f>X62-X63</f>
        <v/>
      </c>
      <c r="Y64" s="6">
        <f>Y62-Y63</f>
        <v/>
      </c>
      <c r="Z64" s="6">
        <f>Z62-Z63</f>
        <v/>
      </c>
      <c r="AA64" s="6">
        <f>AA62-AA63</f>
        <v/>
      </c>
    </row>
    <row r="65">
      <c r="A65" s="3" t="inlineStr">
        <is>
          <t>Incentive Annual ($)</t>
        </is>
      </c>
      <c r="B65" s="6" t="n">
        <v>0</v>
      </c>
      <c r="C65" s="6" t="n">
        <v>0</v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</row>
    <row r="66">
      <c r="A66" s="3" t="inlineStr">
        <is>
          <t>Total Savings ($)</t>
        </is>
      </c>
      <c r="B66" s="6" t="n">
        <v>0</v>
      </c>
      <c r="C66" s="6">
        <f>C64+C65</f>
        <v/>
      </c>
      <c r="D66" s="6">
        <f>D64+D65</f>
        <v/>
      </c>
      <c r="E66" s="6">
        <f>E64+E65</f>
        <v/>
      </c>
      <c r="F66" s="6">
        <f>F64+F65</f>
        <v/>
      </c>
      <c r="G66" s="6">
        <f>G64+G65</f>
        <v/>
      </c>
      <c r="H66" s="6">
        <f>H64+H65</f>
        <v/>
      </c>
      <c r="I66" s="6">
        <f>I64+I65</f>
        <v/>
      </c>
      <c r="J66" s="6">
        <f>J64+J65</f>
        <v/>
      </c>
      <c r="K66" s="6">
        <f>K64+K65</f>
        <v/>
      </c>
      <c r="L66" s="6">
        <f>L64+L65</f>
        <v/>
      </c>
      <c r="M66" s="6">
        <f>M64+M65</f>
        <v/>
      </c>
      <c r="N66" s="6">
        <f>N64+N65</f>
        <v/>
      </c>
      <c r="O66" s="6">
        <f>O64+O65</f>
        <v/>
      </c>
      <c r="P66" s="6">
        <f>P64+P65</f>
        <v/>
      </c>
      <c r="Q66" s="6">
        <f>Q64+Q65</f>
        <v/>
      </c>
      <c r="R66" s="6">
        <f>R64+R65</f>
        <v/>
      </c>
      <c r="S66" s="6">
        <f>S64+S65</f>
        <v/>
      </c>
      <c r="T66" s="6">
        <f>T64+T65</f>
        <v/>
      </c>
      <c r="U66" s="6">
        <f>U64+U65</f>
        <v/>
      </c>
      <c r="V66" s="6">
        <f>V64+V65</f>
        <v/>
      </c>
      <c r="W66" s="6">
        <f>W64+W65</f>
        <v/>
      </c>
      <c r="X66" s="6">
        <f>X64+X65</f>
        <v/>
      </c>
      <c r="Y66" s="6">
        <f>Y64+Y65</f>
        <v/>
      </c>
      <c r="Z66" s="6">
        <f>Z64+Z65</f>
        <v/>
      </c>
      <c r="AA66" s="6">
        <f>AA64+AA65</f>
        <v/>
      </c>
    </row>
    <row r="67">
      <c r="A67" s="3" t="inlineStr">
        <is>
          <t>Net Savings ($)</t>
        </is>
      </c>
      <c r="B67" s="6" t="n">
        <v>0</v>
      </c>
      <c r="C67" s="6">
        <f>C66-C61</f>
        <v/>
      </c>
      <c r="D67" s="6">
        <f>D66-D61</f>
        <v/>
      </c>
      <c r="E67" s="6">
        <f>E66-E61</f>
        <v/>
      </c>
      <c r="F67" s="6">
        <f>F66-F61</f>
        <v/>
      </c>
      <c r="G67" s="6">
        <f>G66-G61</f>
        <v/>
      </c>
      <c r="H67" s="6">
        <f>H66-H61</f>
        <v/>
      </c>
      <c r="I67" s="6">
        <f>I66-I61</f>
        <v/>
      </c>
      <c r="J67" s="6">
        <f>J66-J61</f>
        <v/>
      </c>
      <c r="K67" s="6">
        <f>K66-K61</f>
        <v/>
      </c>
      <c r="L67" s="6">
        <f>L66-L61</f>
        <v/>
      </c>
      <c r="M67" s="6">
        <f>M66-M61</f>
        <v/>
      </c>
      <c r="N67" s="6">
        <f>N66-N61</f>
        <v/>
      </c>
      <c r="O67" s="6">
        <f>O66-O61</f>
        <v/>
      </c>
      <c r="P67" s="6">
        <f>P66-P61</f>
        <v/>
      </c>
      <c r="Q67" s="6">
        <f>Q66-Q61</f>
        <v/>
      </c>
      <c r="R67" s="6">
        <f>R66-R61</f>
        <v/>
      </c>
      <c r="S67" s="6">
        <f>S66-S61</f>
        <v/>
      </c>
      <c r="T67" s="6">
        <f>T66-T61</f>
        <v/>
      </c>
      <c r="U67" s="6">
        <f>U66-U61</f>
        <v/>
      </c>
      <c r="V67" s="6">
        <f>V66-V61</f>
        <v/>
      </c>
      <c r="W67" s="6">
        <f>W66-W61</f>
        <v/>
      </c>
      <c r="X67" s="6">
        <f>X66-X61</f>
        <v/>
      </c>
      <c r="Y67" s="6">
        <f>Y66-Y61</f>
        <v/>
      </c>
      <c r="Z67" s="6">
        <f>Z66-Z61</f>
        <v/>
      </c>
      <c r="AA67" s="6">
        <f>AA66-AA61</f>
        <v/>
      </c>
    </row>
    <row r="68">
      <c r="A68" s="3" t="inlineStr">
        <is>
          <t>Cumulative NPV ($)</t>
        </is>
      </c>
      <c r="B68" s="6" t="n">
        <v>0</v>
      </c>
      <c r="C68" s="6">
        <f>C67/(1+Inputs!$C$19)^1</f>
        <v/>
      </c>
      <c r="D68" s="6">
        <f>C68+D67/(1+Inputs!$C$19)^2</f>
        <v/>
      </c>
      <c r="E68" s="6">
        <f>D68+E67/(1+Inputs!$C$19)^3</f>
        <v/>
      </c>
      <c r="F68" s="6">
        <f>E68+F67/(1+Inputs!$C$19)^4</f>
        <v/>
      </c>
      <c r="G68" s="6">
        <f>F68+G67/(1+Inputs!$C$19)^5</f>
        <v/>
      </c>
      <c r="H68" s="6">
        <f>G68+H67/(1+Inputs!$C$19)^6</f>
        <v/>
      </c>
      <c r="I68" s="6">
        <f>H68+I67/(1+Inputs!$C$19)^7</f>
        <v/>
      </c>
      <c r="J68" s="6">
        <f>I68+J67/(1+Inputs!$C$19)^8</f>
        <v/>
      </c>
      <c r="K68" s="6">
        <f>J68+K67/(1+Inputs!$C$19)^9</f>
        <v/>
      </c>
      <c r="L68" s="6">
        <f>K68+L67/(1+Inputs!$C$19)^10</f>
        <v/>
      </c>
      <c r="M68" s="6">
        <f>L68+M67/(1+Inputs!$C$19)^11</f>
        <v/>
      </c>
      <c r="N68" s="6">
        <f>M68+N67/(1+Inputs!$C$19)^12</f>
        <v/>
      </c>
      <c r="O68" s="6">
        <f>N68+O67/(1+Inputs!$C$19)^13</f>
        <v/>
      </c>
      <c r="P68" s="6">
        <f>O68+P67/(1+Inputs!$C$19)^14</f>
        <v/>
      </c>
      <c r="Q68" s="6">
        <f>P68+Q67/(1+Inputs!$C$19)^15</f>
        <v/>
      </c>
      <c r="R68" s="6">
        <f>Q68+R67/(1+Inputs!$C$19)^16</f>
        <v/>
      </c>
      <c r="S68" s="6">
        <f>R68+S67/(1+Inputs!$C$19)^17</f>
        <v/>
      </c>
      <c r="T68" s="6">
        <f>S68+T67/(1+Inputs!$C$19)^18</f>
        <v/>
      </c>
      <c r="U68" s="6">
        <f>T68+U67/(1+Inputs!$C$19)^19</f>
        <v/>
      </c>
      <c r="V68" s="6">
        <f>U68+V67/(1+Inputs!$C$19)^20</f>
        <v/>
      </c>
      <c r="W68" s="6">
        <f>V68+W67/(1+Inputs!$C$19)^21</f>
        <v/>
      </c>
      <c r="X68" s="6">
        <f>W68+X67/(1+Inputs!$C$19)^22</f>
        <v/>
      </c>
      <c r="Y68" s="6">
        <f>X68+Y67/(1+Inputs!$C$19)^23</f>
        <v/>
      </c>
      <c r="Z68" s="6">
        <f>Y68+Z67/(1+Inputs!$C$19)^24</f>
        <v/>
      </c>
      <c r="AA68" s="6">
        <f>Z68+AA67/(1+Inputs!$C$19)^25</f>
        <v/>
      </c>
    </row>
    <row r="69">
      <c r="A69" s="11" t="inlineStr">
        <is>
          <t>Simple Payback (yr)</t>
        </is>
      </c>
      <c r="B69" s="12">
        <f>IF((C64+C65)&gt;0,B58/(C64+C65),"N/A")</f>
        <v/>
      </c>
    </row>
    <row r="70">
      <c r="A70" s="11" t="inlineStr">
        <is>
          <t>NPV Breakeven Year</t>
        </is>
      </c>
      <c r="B70" s="5" t="inlineStr">
        <is>
          <t>See Cumulative NPV row 68 for first year ≥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MA E3 TOU Sensitivity — Summary</t>
        </is>
      </c>
    </row>
    <row r="3">
      <c r="A3" s="2" t="inlineStr">
        <is>
          <t>Scenario</t>
        </is>
      </c>
      <c r="B3" s="2" t="inlineStr">
        <is>
          <t>Bill w/o</t>
        </is>
      </c>
      <c r="C3" s="2" t="inlineStr">
        <is>
          <t>Bill Savings Y1</t>
        </is>
      </c>
      <c r="D3" s="2" t="inlineStr">
        <is>
          <t>+ Incentives Y1</t>
        </is>
      </c>
      <c r="E3" s="2" t="inlineStr">
        <is>
          <t>PMT</t>
        </is>
      </c>
      <c r="F3" s="2" t="inlineStr">
        <is>
          <t>Net Y1</t>
        </is>
      </c>
      <c r="G3" s="2" t="inlineStr">
        <is>
          <t>25yr NPV</t>
        </is>
      </c>
    </row>
    <row r="4">
      <c r="A4" s="3" t="inlineStr">
        <is>
          <t>TOU NM Solar All</t>
        </is>
      </c>
      <c r="B4" s="6" t="n">
        <v>2852.74</v>
      </c>
      <c r="C4" s="6" t="n">
        <v>1528</v>
      </c>
      <c r="D4" s="6" t="n">
        <v>348</v>
      </c>
      <c r="E4" s="6" t="n">
        <v>1377</v>
      </c>
      <c r="F4" s="6" t="n">
        <v>499</v>
      </c>
      <c r="G4" s="6" t="n">
        <v>10688</v>
      </c>
    </row>
    <row r="5">
      <c r="A5" s="3" t="inlineStr">
        <is>
          <t>TOU NM Solar None</t>
        </is>
      </c>
      <c r="B5" s="6" t="n">
        <v>2852.74</v>
      </c>
      <c r="C5" s="6" t="n">
        <v>1528</v>
      </c>
      <c r="D5" s="6" t="n">
        <v>0</v>
      </c>
      <c r="E5" s="6" t="n">
        <v>1465</v>
      </c>
      <c r="F5" s="6" t="n">
        <v>63</v>
      </c>
      <c r="G5" s="6" t="n">
        <v>5743</v>
      </c>
    </row>
    <row r="6">
      <c r="A6" s="3" t="inlineStr">
        <is>
          <t>TOU NM PV+S All</t>
        </is>
      </c>
      <c r="B6" s="6" t="n">
        <v>2852.74</v>
      </c>
      <c r="C6" s="6" t="n">
        <v>1510</v>
      </c>
      <c r="D6" s="6" t="n">
        <v>1954</v>
      </c>
      <c r="E6" s="6" t="n">
        <v>3138</v>
      </c>
      <c r="F6" s="6" t="n">
        <v>325</v>
      </c>
      <c r="G6" s="6" t="n">
        <v>8211</v>
      </c>
    </row>
    <row r="7">
      <c r="A7" s="3" t="inlineStr">
        <is>
          <t>TOU NM PV+S None</t>
        </is>
      </c>
      <c r="B7" s="6" t="n">
        <v>2852.74</v>
      </c>
      <c r="C7" s="6" t="n">
        <v>1510</v>
      </c>
      <c r="D7" s="6" t="n">
        <v>0</v>
      </c>
      <c r="E7" s="6" t="n">
        <v>3226</v>
      </c>
      <c r="F7" s="6" t="n">
        <v>-1716</v>
      </c>
      <c r="G7" s="6" t="n">
        <v>-16228</v>
      </c>
    </row>
    <row r="8">
      <c r="A8" s="3" t="inlineStr">
        <is>
          <t>TOU NB75 Solar All</t>
        </is>
      </c>
      <c r="B8" s="6" t="n">
        <v>2852.74</v>
      </c>
      <c r="C8" s="6" t="n">
        <v>1495</v>
      </c>
      <c r="D8" s="6" t="n">
        <v>348</v>
      </c>
      <c r="E8" s="6" t="n">
        <v>1377</v>
      </c>
      <c r="F8" s="6" t="n">
        <v>465</v>
      </c>
      <c r="G8" s="6" t="n">
        <v>10165</v>
      </c>
    </row>
    <row r="9">
      <c r="A9" s="3" t="inlineStr">
        <is>
          <t>TOU NB75 Solar None</t>
        </is>
      </c>
      <c r="B9" s="6" t="n">
        <v>2852.74</v>
      </c>
      <c r="C9" s="6" t="n">
        <v>1495</v>
      </c>
      <c r="D9" s="6" t="n">
        <v>0</v>
      </c>
      <c r="E9" s="6" t="n">
        <v>1465</v>
      </c>
      <c r="F9" s="6" t="n">
        <v>30</v>
      </c>
      <c r="G9" s="6" t="n">
        <v>5221</v>
      </c>
    </row>
    <row r="10">
      <c r="A10" s="3" t="inlineStr">
        <is>
          <t>TOU NB75 PV+S All</t>
        </is>
      </c>
      <c r="B10" s="6" t="n">
        <v>2852.74</v>
      </c>
      <c r="C10" s="6" t="n">
        <v>1488</v>
      </c>
      <c r="D10" s="6" t="n">
        <v>1954</v>
      </c>
      <c r="E10" s="6" t="n">
        <v>3138</v>
      </c>
      <c r="F10" s="6" t="n">
        <v>304</v>
      </c>
      <c r="G10" s="6" t="n">
        <v>7876</v>
      </c>
    </row>
    <row r="11">
      <c r="A11" s="3" t="inlineStr">
        <is>
          <t>TOU NB75 PV+S None</t>
        </is>
      </c>
      <c r="B11" s="6" t="n">
        <v>2852.74</v>
      </c>
      <c r="C11" s="6" t="n">
        <v>1488</v>
      </c>
      <c r="D11" s="6" t="n">
        <v>0</v>
      </c>
      <c r="E11" s="6" t="n">
        <v>3226</v>
      </c>
      <c r="F11" s="6" t="n">
        <v>-1738</v>
      </c>
      <c r="G11" s="6" t="n">
        <v>-16563</v>
      </c>
    </row>
    <row r="12">
      <c r="A12" s="3" t="inlineStr">
        <is>
          <t>TOU NB50 Solar All</t>
        </is>
      </c>
      <c r="B12" s="6" t="n">
        <v>2852.74</v>
      </c>
      <c r="C12" s="6" t="n">
        <v>1308</v>
      </c>
      <c r="D12" s="6" t="n">
        <v>348</v>
      </c>
      <c r="E12" s="6" t="n">
        <v>1377</v>
      </c>
      <c r="F12" s="6" t="n">
        <v>278</v>
      </c>
      <c r="G12" s="6" t="n">
        <v>7255</v>
      </c>
    </row>
    <row r="13">
      <c r="A13" s="3" t="inlineStr">
        <is>
          <t>TOU NB50 Solar None</t>
        </is>
      </c>
      <c r="B13" s="6" t="n">
        <v>2852.74</v>
      </c>
      <c r="C13" s="6" t="n">
        <v>1308</v>
      </c>
      <c r="D13" s="6" t="n">
        <v>0</v>
      </c>
      <c r="E13" s="6" t="n">
        <v>1465</v>
      </c>
      <c r="F13" s="6" t="n">
        <v>-157</v>
      </c>
      <c r="G13" s="6" t="n">
        <v>2310</v>
      </c>
    </row>
    <row r="14">
      <c r="A14" s="3" t="inlineStr">
        <is>
          <t>TOU NB50 PV+S All</t>
        </is>
      </c>
      <c r="B14" s="6" t="n">
        <v>2852.74</v>
      </c>
      <c r="C14" s="6" t="n">
        <v>1320</v>
      </c>
      <c r="D14" s="6" t="n">
        <v>1954</v>
      </c>
      <c r="E14" s="6" t="n">
        <v>3138</v>
      </c>
      <c r="F14" s="6" t="n">
        <v>136</v>
      </c>
      <c r="G14" s="6" t="n">
        <v>5266</v>
      </c>
    </row>
    <row r="15">
      <c r="A15" s="3" t="inlineStr">
        <is>
          <t>TOU NB50 PV+S None</t>
        </is>
      </c>
      <c r="B15" s="6" t="n">
        <v>2852.74</v>
      </c>
      <c r="C15" s="6" t="n">
        <v>1320</v>
      </c>
      <c r="D15" s="6" t="n">
        <v>0</v>
      </c>
      <c r="E15" s="6" t="n">
        <v>3226</v>
      </c>
      <c r="F15" s="6" t="n">
        <v>-1906</v>
      </c>
      <c r="G15" s="6" t="n">
        <v>-19172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Duke NSOE MEM 2026 Cohort</dc:creator>
  <dcterms:created xmlns:dcterms="http://purl.org/dc/terms/" xmlns:xsi="http://www.w3.org/2001/XMLSchema-instance" xsi:type="dcterms:W3CDTF">2026-03-23T02:39:50Z</dcterms:created>
  <dcterms:modified xmlns:dcterms="http://purl.org/dc/terms/" xmlns:xsi="http://www.w3.org/2001/XMLSchema-instance" xsi:type="dcterms:W3CDTF">2026-03-23T15:41:11Z</dcterms:modified>
</cp:coreProperties>
</file>