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versource Solar Only" sheetId="3" state="visible" r:id="rId3"/>
    <sheet xmlns:r="http://schemas.openxmlformats.org/officeDocument/2006/relationships" name="Eversource PV+Storage" sheetId="4" state="visible" r:id="rId4"/>
    <sheet xmlns:r="http://schemas.openxmlformats.org/officeDocument/2006/relationships" name="NGrid Solar Only" sheetId="5" state="visible" r:id="rId5"/>
    <sheet xmlns:r="http://schemas.openxmlformats.org/officeDocument/2006/relationships" name="NGrid PV+Sto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0" fontId="5" fillId="2" borderId="0" pivotButton="0" quotePrefix="0" xfId="0"/>
    <xf numFmtId="0" fontId="6" fillId="3" borderId="0" pivotButton="0" quotePrefix="0" xfId="0"/>
    <xf numFmtId="164" fontId="0" fillId="0" borderId="0" pivotButton="0" quotePrefix="0" xfId="0"/>
    <xf numFmtId="164" fontId="9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165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  <col width="45" customWidth="1" min="5" max="5"/>
    <col width="40" customWidth="1" min="6" max="6"/>
  </cols>
  <sheetData>
    <row r="1">
      <c r="B1" s="1" t="inlineStr">
        <is>
          <t>MA DER Financial Analysis — Inputs</t>
        </is>
      </c>
    </row>
    <row r="2">
      <c r="B2" s="2" t="inlineStr">
        <is>
          <t>Version 3: Source-backed rates, Tao Sun costs, ResStock load, 4.72 kW PV</t>
        </is>
      </c>
    </row>
    <row r="4">
      <c r="B4" s="3" t="inlineStr">
        <is>
          <t>SYSTEM PARAMETERS</t>
        </is>
      </c>
    </row>
    <row r="5">
      <c r="B5" s="4" t="inlineStr">
        <is>
          <t>Solar PV Capacity</t>
        </is>
      </c>
      <c r="C5" s="5" t="n">
        <v>4.72</v>
      </c>
      <c r="D5" s="2" t="inlineStr">
        <is>
          <t>kW DC</t>
        </is>
      </c>
      <c r="E5" s="2" t="inlineStr">
        <is>
          <t>State median (EnergySage/EIA)</t>
        </is>
      </c>
    </row>
    <row r="6">
      <c r="B6" s="4" t="inlineStr">
        <is>
          <t>Battery Capacity</t>
        </is>
      </c>
      <c r="C6" s="5" t="n">
        <v>13.5</v>
      </c>
      <c r="D6" s="2" t="inlineStr">
        <is>
          <t>kWh</t>
        </is>
      </c>
      <c r="E6" s="2" t="inlineStr">
        <is>
          <t>Tesla Powerwall baseline</t>
        </is>
      </c>
    </row>
    <row r="7">
      <c r="B7" s="4" t="inlineStr">
        <is>
          <t>Battery Power</t>
        </is>
      </c>
      <c r="C7" s="5" t="n">
        <v>5</v>
      </c>
      <c r="D7" s="2" t="inlineStr">
        <is>
          <t>kW</t>
        </is>
      </c>
      <c r="E7" s="2" t="inlineStr">
        <is>
          <t>Tesla Powerwall baseline</t>
        </is>
      </c>
    </row>
    <row r="8">
      <c r="B8" s="4" t="inlineStr">
        <is>
          <t>Annual PV Generation</t>
        </is>
      </c>
      <c r="C8" s="5" t="n">
        <v>5794</v>
      </c>
      <c r="D8" s="2" t="inlineStr">
        <is>
          <t>kWh/yr</t>
        </is>
      </c>
      <c r="E8" s="2" t="inlineStr">
        <is>
          <t>PySAM v7.1, Boston 2023 NSRDB</t>
        </is>
      </c>
    </row>
    <row r="9">
      <c r="B9" s="4" t="inlineStr">
        <is>
          <t>Annual Load</t>
        </is>
      </c>
      <c r="C9" s="5" t="n">
        <v>8834</v>
      </c>
      <c r="D9" s="2" t="inlineStr">
        <is>
          <t>kWh/yr</t>
        </is>
      </c>
      <c r="E9" s="2" t="inlineStr">
        <is>
          <t>ResStock MA aggregate</t>
        </is>
      </c>
    </row>
    <row r="10">
      <c r="B10" s="4" t="inlineStr">
        <is>
          <t>Load Peak</t>
        </is>
      </c>
      <c r="C10" s="5" t="n">
        <v>2.35</v>
      </c>
      <c r="D10" s="2" t="inlineStr">
        <is>
          <t>kW</t>
        </is>
      </c>
      <c r="E10" s="2" t="inlineStr">
        <is>
          <t>ResStock MA aggregate</t>
        </is>
      </c>
    </row>
    <row r="12">
      <c r="B12" s="3" t="inlineStr">
        <is>
          <t>SYSTEM COSTS (Tao Sun MA)</t>
        </is>
      </c>
    </row>
    <row r="13">
      <c r="B13" s="4" t="inlineStr">
        <is>
          <t>Solar $/kW</t>
        </is>
      </c>
      <c r="C13" s="5" t="n">
        <v>3540</v>
      </c>
      <c r="D13" s="2" t="inlineStr">
        <is>
          <t>$/kW</t>
        </is>
      </c>
      <c r="E13" s="2" t="inlineStr">
        <is>
          <t>Tao Sun Supp Table 15, MA</t>
        </is>
      </c>
    </row>
    <row r="14">
      <c r="B14" s="4" t="inlineStr">
        <is>
          <t>Solar Total Cost</t>
        </is>
      </c>
      <c r="C14" s="5" t="n">
        <v>16708.8</v>
      </c>
      <c r="D14" s="2" t="inlineStr">
        <is>
          <t>$</t>
        </is>
      </c>
      <c r="E14" s="2" t="inlineStr">
        <is>
          <t>Calculated</t>
        </is>
      </c>
    </row>
    <row r="15">
      <c r="B15" s="4" t="inlineStr">
        <is>
          <t>Battery $/kWh</t>
        </is>
      </c>
      <c r="C15" s="5" t="n">
        <v>1488</v>
      </c>
      <c r="D15" s="2" t="inlineStr">
        <is>
          <t>$/kWh</t>
        </is>
      </c>
      <c r="E15" s="2" t="inlineStr">
        <is>
          <t>Tao Sun Supp Table 15, MA</t>
        </is>
      </c>
    </row>
    <row r="16">
      <c r="B16" s="4" t="inlineStr">
        <is>
          <t>Battery Total Cost</t>
        </is>
      </c>
      <c r="C16" s="5" t="n">
        <v>20088</v>
      </c>
      <c r="D16" s="2" t="inlineStr">
        <is>
          <t>$</t>
        </is>
      </c>
      <c r="E16" s="2" t="inlineStr">
        <is>
          <t>Calculated</t>
        </is>
      </c>
    </row>
    <row r="17">
      <c r="B17" s="4" t="inlineStr">
        <is>
          <t>PV+Storage Total Cost</t>
        </is>
      </c>
      <c r="C17" s="5" t="n">
        <v>36796.8</v>
      </c>
      <c r="D17" s="2" t="inlineStr">
        <is>
          <t>$</t>
        </is>
      </c>
      <c r="E17" s="2" t="inlineStr">
        <is>
          <t>Calculated</t>
        </is>
      </c>
    </row>
    <row r="19">
      <c r="B19" s="3" t="inlineStr">
        <is>
          <t>FINANCIAL PARAMETERS</t>
        </is>
      </c>
    </row>
    <row r="20">
      <c r="B20" s="4" t="inlineStr">
        <is>
          <t>Loan Interest Rate</t>
        </is>
      </c>
      <c r="C20" s="6" t="n">
        <v>0.07240000000000001</v>
      </c>
      <c r="E20" s="2" t="inlineStr">
        <is>
          <t>Unified rate</t>
        </is>
      </c>
    </row>
    <row r="21">
      <c r="B21" s="4" t="inlineStr">
        <is>
          <t>Loan Term</t>
        </is>
      </c>
      <c r="C21" s="5" t="n">
        <v>25</v>
      </c>
      <c r="D21" s="2" t="inlineStr">
        <is>
          <t>years</t>
        </is>
      </c>
    </row>
    <row r="22">
      <c r="B22" s="4" t="inlineStr">
        <is>
          <t>Customer Discount Rate</t>
        </is>
      </c>
      <c r="C22" s="6" t="n">
        <v>0.064</v>
      </c>
      <c r="E22" s="2" t="inlineStr">
        <is>
          <t>Standard residential</t>
        </is>
      </c>
    </row>
    <row r="23">
      <c r="B23" s="4" t="inlineStr">
        <is>
          <t>Electricity Cost Escalation</t>
        </is>
      </c>
      <c r="C23" s="6" t="n">
        <v>0.025</v>
      </c>
      <c r="D23" s="2" t="inlineStr">
        <is>
          <t>/yr</t>
        </is>
      </c>
      <c r="E23" s="2" t="inlineStr">
        <is>
          <t>EIA historical MA</t>
        </is>
      </c>
    </row>
    <row r="25">
      <c r="B25" s="3" t="inlineStr">
        <is>
          <t>RATE STRUCTURES</t>
        </is>
      </c>
    </row>
    <row r="26">
      <c r="B26" s="4" t="inlineStr">
        <is>
          <t>Eversource Buy Rate</t>
        </is>
      </c>
      <c r="C26" s="5" t="n">
        <v>0.2496</v>
      </c>
      <c r="D26" s="2" t="inlineStr">
        <is>
          <t>$/kWh</t>
        </is>
      </c>
      <c r="E26" s="2" t="inlineStr">
        <is>
          <t>M.D.P.U. No. 7, R-1, Feb 2026</t>
        </is>
      </c>
    </row>
    <row r="27">
      <c r="B27" s="4" t="inlineStr">
        <is>
          <t>Eversource Sell Rate (NM)</t>
        </is>
      </c>
      <c r="C27" s="5" t="n">
        <v>0.2375</v>
      </c>
      <c r="D27" s="2" t="inlineStr">
        <is>
          <t>$/kWh</t>
        </is>
      </c>
      <c r="E27" s="2" t="inlineStr">
        <is>
          <t>Retail minus non-bypassable</t>
        </is>
      </c>
    </row>
    <row r="28">
      <c r="B28" s="4" t="inlineStr">
        <is>
          <t>Eversource Fixed Charge</t>
        </is>
      </c>
      <c r="C28" s="5" t="n">
        <v>7.5</v>
      </c>
      <c r="D28" s="2" t="inlineStr">
        <is>
          <t>$/mo</t>
        </is>
      </c>
      <c r="E28" s="2" t="inlineStr">
        <is>
          <t>M.D.P.U. No. 7</t>
        </is>
      </c>
    </row>
    <row r="29">
      <c r="B29" s="4" t="inlineStr">
        <is>
          <t>National Grid Buy Rate</t>
        </is>
      </c>
      <c r="C29" s="5" t="n">
        <v>0.3603</v>
      </c>
      <c r="D29" s="2" t="inlineStr">
        <is>
          <t>$/kWh</t>
        </is>
      </c>
      <c r="E29" s="2" t="inlineStr">
        <is>
          <t>M.D.P.U. No. 1609, R-1, Nov 2025</t>
        </is>
      </c>
    </row>
    <row r="30">
      <c r="B30" s="4" t="inlineStr">
        <is>
          <t>National Grid Sell Rate (NM)</t>
        </is>
      </c>
      <c r="C30" s="5" t="n">
        <v>0.3358</v>
      </c>
      <c r="D30" s="2" t="inlineStr">
        <is>
          <t>$/kWh</t>
        </is>
      </c>
      <c r="E30" s="2" t="inlineStr">
        <is>
          <t>Retail minus non-bypassable</t>
        </is>
      </c>
    </row>
    <row r="31">
      <c r="B31" s="4" t="inlineStr">
        <is>
          <t>National Grid Fixed Charge</t>
        </is>
      </c>
      <c r="C31" s="5" t="n">
        <v>10</v>
      </c>
      <c r="D31" s="2" t="inlineStr">
        <is>
          <t>$/mo</t>
        </is>
      </c>
      <c r="E31" s="2" t="inlineStr">
        <is>
          <t>M.D.P.U. No. 1609</t>
        </is>
      </c>
    </row>
    <row r="32">
      <c r="B32" s="4" t="inlineStr">
        <is>
          <t>NGrid Supply Rate</t>
        </is>
      </c>
      <c r="C32" s="5" t="n">
        <v>0.15372</v>
      </c>
      <c r="D32" s="2" t="inlineStr">
        <is>
          <t>$/kWh</t>
        </is>
      </c>
      <c r="E32" s="2" t="inlineStr">
        <is>
          <t>NGrid Basic Service, Feb-Jul 2026</t>
        </is>
      </c>
    </row>
    <row r="34">
      <c r="B34" s="3" t="inlineStr">
        <is>
          <t>PYSAM BILL OUTPUTS (Year 1)</t>
        </is>
      </c>
    </row>
    <row r="35">
      <c r="B35" s="4" t="inlineStr">
        <is>
          <t>EV Solar Bill w/o System</t>
        </is>
      </c>
      <c r="C35" s="5" t="n">
        <v>2295.06</v>
      </c>
      <c r="D35" s="2" t="inlineStr">
        <is>
          <t>$/yr</t>
        </is>
      </c>
      <c r="E35" s="2" t="inlineStr">
        <is>
          <t>PySAM v3</t>
        </is>
      </c>
    </row>
    <row r="36">
      <c r="B36" s="4" t="inlineStr">
        <is>
          <t>EV Solar Bill w/ System</t>
        </is>
      </c>
      <c r="C36" s="5" t="n">
        <v>848.8</v>
      </c>
      <c r="D36" s="2" t="inlineStr">
        <is>
          <t>$/yr</t>
        </is>
      </c>
      <c r="E36" s="2" t="inlineStr">
        <is>
          <t>PySAM v3</t>
        </is>
      </c>
    </row>
    <row r="37">
      <c r="B37" s="4" t="inlineStr">
        <is>
          <t>EV PV+S Bill w/ System</t>
        </is>
      </c>
      <c r="C37" s="5" t="n">
        <v>864.3</v>
      </c>
      <c r="D37" s="2" t="inlineStr">
        <is>
          <t>$/yr</t>
        </is>
      </c>
      <c r="E37" s="2" t="inlineStr">
        <is>
          <t>PySAM v3</t>
        </is>
      </c>
    </row>
    <row r="38">
      <c r="B38" s="4" t="inlineStr">
        <is>
          <t>NG Solar Bill w/o System</t>
        </is>
      </c>
      <c r="C38" s="5" t="n">
        <v>3303.02</v>
      </c>
      <c r="D38" s="2" t="inlineStr">
        <is>
          <t>$/yr</t>
        </is>
      </c>
      <c r="E38" s="2" t="inlineStr">
        <is>
          <t>PySAM v3</t>
        </is>
      </c>
    </row>
    <row r="39">
      <c r="B39" s="4" t="inlineStr">
        <is>
          <t>NG Solar Bill w/ System</t>
        </is>
      </c>
      <c r="C39" s="5" t="n">
        <v>1215.34</v>
      </c>
      <c r="D39" s="2" t="inlineStr">
        <is>
          <t>$/yr</t>
        </is>
      </c>
      <c r="E39" s="2" t="inlineStr">
        <is>
          <t>PySAM v3</t>
        </is>
      </c>
    </row>
    <row r="40">
      <c r="B40" s="4" t="inlineStr">
        <is>
          <t>NG PV+S Bill w/ System</t>
        </is>
      </c>
      <c r="C40" s="5" t="n">
        <v>1237.71</v>
      </c>
      <c r="D40" s="2" t="inlineStr">
        <is>
          <t>$/yr</t>
        </is>
      </c>
      <c r="E40" s="2" t="inlineStr">
        <is>
          <t>PySAM v3</t>
        </is>
      </c>
    </row>
    <row r="42">
      <c r="B42" s="3" t="inlineStr">
        <is>
          <t>INCENTIVES</t>
        </is>
      </c>
    </row>
    <row r="43">
      <c r="B43" s="4" t="inlineStr">
        <is>
          <t>Federal ITC</t>
        </is>
      </c>
      <c r="C43" s="5" t="n">
        <v>0</v>
      </c>
      <c r="D43" s="2" t="inlineStr">
        <is>
          <t>%</t>
        </is>
      </c>
      <c r="E43" s="2" t="inlineStr">
        <is>
          <t>Expired Dec 31, 2025</t>
        </is>
      </c>
    </row>
    <row r="44">
      <c r="B44" s="4" t="inlineStr">
        <is>
          <t>State Tax Credit (15%, $1K cap)</t>
        </is>
      </c>
      <c r="C44" s="5" t="n">
        <v>1000</v>
      </c>
      <c r="D44" s="2" t="inlineStr">
        <is>
          <t>$</t>
        </is>
      </c>
      <c r="E44" s="2" t="inlineStr">
        <is>
          <t>Mass.gov Schedule EC</t>
        </is>
      </c>
    </row>
    <row r="45">
      <c r="B45" s="4" t="inlineStr">
        <is>
          <t>Eversource Battery Rebate</t>
        </is>
      </c>
      <c r="C45" s="5" t="n">
        <v>500</v>
      </c>
      <c r="D45" s="2" t="inlineStr">
        <is>
          <t>$</t>
        </is>
      </c>
      <c r="E45" s="2" t="inlineStr">
        <is>
          <t>EnergySage, EV territory only</t>
        </is>
      </c>
    </row>
    <row r="46">
      <c r="B46" s="4" t="inlineStr">
        <is>
          <t>SMART Solar Only (flat+building)</t>
        </is>
      </c>
      <c r="C46" s="5" t="n">
        <v>347.64</v>
      </c>
      <c r="D46" s="2" t="inlineStr">
        <is>
          <t>$/yr</t>
        </is>
      </c>
      <c r="E46" s="2" t="inlineStr">
        <is>
          <t>225 CMR 28.13, 5794 kWh × $0.06</t>
        </is>
      </c>
    </row>
    <row r="47">
      <c r="B47" s="4" t="inlineStr">
        <is>
          <t>SMART PV+S (flat+building+storage)</t>
        </is>
      </c>
      <c r="C47" s="5" t="n">
        <v>579.4</v>
      </c>
      <c r="D47" s="2" t="inlineStr">
        <is>
          <t>$/yr</t>
        </is>
      </c>
      <c r="E47" s="2" t="inlineStr">
        <is>
          <t>225 CMR 28.13, 5794 kWh × $0.10</t>
        </is>
      </c>
    </row>
    <row r="48">
      <c r="B48" s="4" t="inlineStr">
        <is>
          <t>SMART Compensation Term</t>
        </is>
      </c>
      <c r="C48" s="5" t="n">
        <v>20</v>
      </c>
      <c r="D48" s="2" t="inlineStr">
        <is>
          <t>years</t>
        </is>
      </c>
      <c r="E48" s="2" t="inlineStr">
        <is>
          <t>225 CMR 28.13(1)</t>
        </is>
      </c>
    </row>
    <row r="49">
      <c r="B49" s="4" t="inlineStr">
        <is>
          <t>ConnectedSolutions</t>
        </is>
      </c>
      <c r="C49" s="5" t="n">
        <v>1375</v>
      </c>
      <c r="D49" s="2" t="inlineStr">
        <is>
          <t>$/yr</t>
        </is>
      </c>
      <c r="E49" s="2" t="inlineStr">
        <is>
          <t>MassSave, $275/kW × 5.0 kW</t>
        </is>
      </c>
    </row>
    <row r="50">
      <c r="B50" s="4" t="inlineStr">
        <is>
          <t>ConnectedSolutions Lock Period</t>
        </is>
      </c>
      <c r="C50" s="5" t="n">
        <v>5</v>
      </c>
      <c r="D50" s="2" t="inlineStr">
        <is>
          <t>years</t>
        </is>
      </c>
      <c r="E50" s="2" t="inlineStr">
        <is>
          <t>MassSave, rate locked 5 summers</t>
        </is>
      </c>
    </row>
    <row r="51">
      <c r="B51" s="4" t="inlineStr">
        <is>
          <t>SMART Status</t>
        </is>
      </c>
      <c r="C51" s="5" t="inlineStr">
        <is>
          <t>Pending DPU 25-175</t>
        </is>
      </c>
      <c r="E51" s="2" t="inlineStr">
        <is>
          <t>Payments not backdated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B1" s="1" t="inlineStr">
        <is>
          <t>MA DER Financial Analysis — Summary</t>
        </is>
      </c>
    </row>
    <row r="2">
      <c r="B2" s="2" t="inlineStr">
        <is>
          <t>PV: 4.72 kW | Battery: 13.5 kWh | Rates: Feb 2026 tariff-backed</t>
        </is>
      </c>
    </row>
    <row r="4">
      <c r="B4" s="7" t="inlineStr">
        <is>
          <t>Scenario</t>
        </is>
      </c>
      <c r="C4" s="7" t="inlineStr">
        <is>
          <t>Debt</t>
        </is>
      </c>
      <c r="D4" s="7" t="inlineStr">
        <is>
          <t>PMT/yr</t>
        </is>
      </c>
      <c r="E4" s="7" t="inlineStr">
        <is>
          <t>Y1 Bill Sav</t>
        </is>
      </c>
      <c r="F4" s="7" t="inlineStr">
        <is>
          <t>Y1 Incentives</t>
        </is>
      </c>
      <c r="G4" s="7" t="inlineStr">
        <is>
          <t>Y1 Net</t>
        </is>
      </c>
      <c r="H4" s="7" t="inlineStr">
        <is>
          <t>Mo Net</t>
        </is>
      </c>
      <c r="I4" s="7" t="inlineStr">
        <is>
          <t>25yr NPV</t>
        </is>
      </c>
      <c r="J4" s="7" t="inlineStr">
        <is>
          <t>NPV BE Yr</t>
        </is>
      </c>
      <c r="K4" s="7" t="inlineStr">
        <is>
          <t>Simple PB</t>
        </is>
      </c>
    </row>
    <row r="5">
      <c r="B5" s="4" t="inlineStr">
        <is>
          <t>Eversource Solar All Incentives</t>
        </is>
      </c>
      <c r="C5" s="8" t="n">
        <v>15708.8</v>
      </c>
      <c r="D5" s="8" t="n">
        <v>1377</v>
      </c>
      <c r="E5" s="8" t="n">
        <v>1446</v>
      </c>
      <c r="F5" s="8" t="n">
        <v>348</v>
      </c>
      <c r="G5" s="8" t="n">
        <v>417</v>
      </c>
      <c r="H5" s="8" t="n">
        <v>35</v>
      </c>
      <c r="I5" s="8" t="n">
        <v>9409</v>
      </c>
      <c r="J5" t="n">
        <v>1</v>
      </c>
      <c r="K5" t="n">
        <v>8.800000000000001</v>
      </c>
    </row>
    <row r="6">
      <c r="B6" s="4" t="inlineStr">
        <is>
          <t>Eversource Solar No Incentives</t>
        </is>
      </c>
      <c r="C6" s="8" t="n">
        <v>16708.8</v>
      </c>
      <c r="D6" s="8" t="n">
        <v>1465</v>
      </c>
      <c r="E6" s="8" t="n">
        <v>1446</v>
      </c>
      <c r="F6" s="8" t="n">
        <v>0</v>
      </c>
      <c r="G6" s="9" t="n">
        <v>-19</v>
      </c>
      <c r="H6" s="9" t="n">
        <v>-2</v>
      </c>
      <c r="I6" s="8" t="n">
        <v>4469</v>
      </c>
      <c r="J6" t="n">
        <v>3</v>
      </c>
      <c r="K6" t="n">
        <v>11.6</v>
      </c>
    </row>
    <row r="7">
      <c r="B7" s="4" t="inlineStr">
        <is>
          <t>Eversource PVS All Incentives</t>
        </is>
      </c>
      <c r="C7" s="8" t="n">
        <v>35296.8</v>
      </c>
      <c r="D7" s="8" t="n">
        <v>3095</v>
      </c>
      <c r="E7" s="8" t="n">
        <v>1431</v>
      </c>
      <c r="F7" s="8" t="n">
        <v>1954</v>
      </c>
      <c r="G7" s="8" t="n">
        <v>291</v>
      </c>
      <c r="H7" s="8" t="n">
        <v>24</v>
      </c>
      <c r="I7" s="8" t="n">
        <v>7527</v>
      </c>
      <c r="J7" t="n">
        <v>1</v>
      </c>
      <c r="K7" t="n">
        <v>10.4</v>
      </c>
    </row>
    <row r="8">
      <c r="B8" s="4" t="inlineStr">
        <is>
          <t>Eversource PVS State+SMART</t>
        </is>
      </c>
      <c r="C8" s="8" t="n">
        <v>35796.8</v>
      </c>
      <c r="D8" s="8" t="n">
        <v>3138</v>
      </c>
      <c r="E8" s="8" t="n">
        <v>1431</v>
      </c>
      <c r="F8" s="8" t="n">
        <v>579</v>
      </c>
      <c r="G8" s="9" t="n">
        <v>-1128</v>
      </c>
      <c r="H8" s="9" t="n">
        <v>-94</v>
      </c>
      <c r="I8" s="8" t="n">
        <v>-9941</v>
      </c>
      <c r="J8" t="inlineStr">
        <is>
          <t>Never</t>
        </is>
      </c>
      <c r="K8" t="n">
        <v>17.8</v>
      </c>
    </row>
    <row r="9">
      <c r="B9" s="4" t="inlineStr">
        <is>
          <t>Eversource PVS No Incentives</t>
        </is>
      </c>
      <c r="C9" s="8" t="n">
        <v>36796.8</v>
      </c>
      <c r="D9" s="8" t="n">
        <v>3226</v>
      </c>
      <c r="E9" s="8" t="n">
        <v>1431</v>
      </c>
      <c r="F9" s="8" t="n">
        <v>0</v>
      </c>
      <c r="G9" s="9" t="n">
        <v>-1795</v>
      </c>
      <c r="H9" s="9" t="n">
        <v>-150</v>
      </c>
      <c r="I9" s="8" t="n">
        <v>-17455</v>
      </c>
      <c r="J9" t="inlineStr">
        <is>
          <t>Never</t>
        </is>
      </c>
      <c r="K9" t="n">
        <v>25.7</v>
      </c>
    </row>
    <row r="10">
      <c r="B10" s="4" t="inlineStr">
        <is>
          <t>NGrid Solar All Incentives</t>
        </is>
      </c>
      <c r="C10" s="8" t="n">
        <v>15708.8</v>
      </c>
      <c r="D10" s="8" t="n">
        <v>1377</v>
      </c>
      <c r="E10" s="8" t="n">
        <v>2088</v>
      </c>
      <c r="F10" s="8" t="n">
        <v>348</v>
      </c>
      <c r="G10" s="8" t="n">
        <v>1058</v>
      </c>
      <c r="H10" s="8" t="n">
        <v>88</v>
      </c>
      <c r="I10" s="8" t="n">
        <v>19390</v>
      </c>
      <c r="J10" t="n">
        <v>1</v>
      </c>
      <c r="K10" t="n">
        <v>6.5</v>
      </c>
    </row>
    <row r="11">
      <c r="B11" s="4" t="inlineStr">
        <is>
          <t>NGrid Solar No Incentives</t>
        </is>
      </c>
      <c r="C11" s="8" t="n">
        <v>16708.8</v>
      </c>
      <c r="D11" s="8" t="n">
        <v>1465</v>
      </c>
      <c r="E11" s="8" t="n">
        <v>2088</v>
      </c>
      <c r="F11" s="8" t="n">
        <v>0</v>
      </c>
      <c r="G11" s="8" t="n">
        <v>623</v>
      </c>
      <c r="H11" s="8" t="n">
        <v>52</v>
      </c>
      <c r="I11" s="8" t="n">
        <v>14449</v>
      </c>
      <c r="J11" t="n">
        <v>1</v>
      </c>
      <c r="K11" t="n">
        <v>8</v>
      </c>
    </row>
    <row r="12">
      <c r="B12" s="4" t="inlineStr">
        <is>
          <t>NGrid PVS All Incentives</t>
        </is>
      </c>
      <c r="C12" s="8" t="n">
        <v>35796.8</v>
      </c>
      <c r="D12" s="8" t="n">
        <v>3138</v>
      </c>
      <c r="E12" s="8" t="n">
        <v>2065</v>
      </c>
      <c r="F12" s="8" t="n">
        <v>1954</v>
      </c>
      <c r="G12" s="8" t="n">
        <v>881</v>
      </c>
      <c r="H12" s="8" t="n">
        <v>73</v>
      </c>
      <c r="I12" s="8" t="n">
        <v>16861</v>
      </c>
      <c r="J12" t="n">
        <v>1</v>
      </c>
      <c r="K12" t="n">
        <v>8.9</v>
      </c>
    </row>
    <row r="13">
      <c r="B13" s="4" t="inlineStr">
        <is>
          <t>NGrid PVS State+SMART</t>
        </is>
      </c>
      <c r="C13" s="8" t="n">
        <v>35796.8</v>
      </c>
      <c r="D13" s="8" t="n">
        <v>3138</v>
      </c>
      <c r="E13" s="8" t="n">
        <v>2065</v>
      </c>
      <c r="F13" s="8" t="n">
        <v>579</v>
      </c>
      <c r="G13" s="9" t="n">
        <v>-494</v>
      </c>
      <c r="H13" s="9" t="n">
        <v>-41</v>
      </c>
      <c r="I13" s="8" t="n">
        <v>-67</v>
      </c>
      <c r="J13" t="inlineStr">
        <is>
          <t>Never</t>
        </is>
      </c>
      <c r="K13" t="n">
        <v>13.5</v>
      </c>
    </row>
    <row r="14">
      <c r="B14" s="4" t="inlineStr">
        <is>
          <t>NGrid PVS No Incentives</t>
        </is>
      </c>
      <c r="C14" s="8" t="n">
        <v>36796.8</v>
      </c>
      <c r="D14" s="8" t="n">
        <v>3226</v>
      </c>
      <c r="E14" s="8" t="n">
        <v>2065</v>
      </c>
      <c r="F14" s="8" t="n">
        <v>0</v>
      </c>
      <c r="G14" s="9" t="n">
        <v>-1161</v>
      </c>
      <c r="H14" s="9" t="n">
        <v>-97</v>
      </c>
      <c r="I14" s="8" t="n">
        <v>-7582</v>
      </c>
      <c r="J14" t="inlineStr">
        <is>
          <t>Never</t>
        </is>
      </c>
      <c r="K14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0" t="inlineStr">
        <is>
          <t>Eversource Solar — All Incentives</t>
        </is>
      </c>
    </row>
    <row r="2">
      <c r="A2" s="2" t="inlineStr">
        <is>
          <t>Debt: $15,709 | PMT: $1,377/yr | Bill Savings Y1: $1,446</t>
        </is>
      </c>
    </row>
    <row r="3">
      <c r="A3" s="11" t="inlineStr">
        <is>
          <t>Year</t>
        </is>
      </c>
      <c r="B3" s="11" t="n">
        <v>0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</row>
    <row r="4">
      <c r="A4" s="4" t="inlineStr">
        <is>
          <t>Debt Balance ($)</t>
        </is>
      </c>
      <c r="B4" s="8" t="n">
        <v>15708.8</v>
      </c>
      <c r="C4" s="8" t="n">
        <v>15468.87</v>
      </c>
      <c r="D4" s="8" t="n">
        <v>15211.56</v>
      </c>
      <c r="E4" s="8" t="n">
        <v>14935.62</v>
      </c>
      <c r="F4" s="8" t="n">
        <v>14639.71</v>
      </c>
      <c r="G4" s="8" t="n">
        <v>14322.37</v>
      </c>
      <c r="H4" s="8" t="n">
        <v>13982.06</v>
      </c>
      <c r="I4" s="8" t="n">
        <v>13617.11</v>
      </c>
      <c r="J4" s="8" t="n">
        <v>13225.74</v>
      </c>
      <c r="K4" s="8" t="n">
        <v>12806.03</v>
      </c>
      <c r="L4" s="8" t="n">
        <v>12355.94</v>
      </c>
      <c r="M4" s="8" t="n">
        <v>11873.25</v>
      </c>
      <c r="N4" s="8" t="n">
        <v>11355.62</v>
      </c>
      <c r="O4" s="8" t="n">
        <v>10800.52</v>
      </c>
      <c r="P4" s="8" t="n">
        <v>10205.23</v>
      </c>
      <c r="Q4" s="8" t="n">
        <v>9566.83</v>
      </c>
      <c r="R4" s="8" t="n">
        <v>8882.219999999999</v>
      </c>
      <c r="S4" s="8" t="n">
        <v>8148.04</v>
      </c>
      <c r="T4" s="8" t="n">
        <v>7360.71</v>
      </c>
      <c r="U4" s="8" t="n">
        <v>6516.37</v>
      </c>
      <c r="V4" s="8" t="n">
        <v>5610.9</v>
      </c>
      <c r="W4" s="8" t="n">
        <v>4639.88</v>
      </c>
      <c r="X4" s="8" t="n">
        <v>3598.55</v>
      </c>
      <c r="Y4" s="8" t="n">
        <v>2481.84</v>
      </c>
      <c r="Z4" s="8" t="n">
        <v>1284.27</v>
      </c>
      <c r="AA4" s="8" t="n">
        <v>0</v>
      </c>
    </row>
    <row r="5">
      <c r="A5" s="4" t="inlineStr">
        <is>
          <t>Interest Payment ($)</t>
        </is>
      </c>
      <c r="B5" s="8" t="n">
        <v>0</v>
      </c>
      <c r="C5" s="8" t="n">
        <v>1137.32</v>
      </c>
      <c r="D5" s="8" t="n">
        <v>1119.95</v>
      </c>
      <c r="E5" s="8" t="n">
        <v>1101.32</v>
      </c>
      <c r="F5" s="8" t="n">
        <v>1081.34</v>
      </c>
      <c r="G5" s="8" t="n">
        <v>1059.92</v>
      </c>
      <c r="H5" s="8" t="n">
        <v>1036.94</v>
      </c>
      <c r="I5" s="8" t="n">
        <v>1012.3</v>
      </c>
      <c r="J5" s="8" t="n">
        <v>985.88</v>
      </c>
      <c r="K5" s="8" t="n">
        <v>957.54</v>
      </c>
      <c r="L5" s="8" t="n">
        <v>927.16</v>
      </c>
      <c r="M5" s="8" t="n">
        <v>894.5700000000001</v>
      </c>
      <c r="N5" s="8" t="n">
        <v>859.62</v>
      </c>
      <c r="O5" s="8" t="n">
        <v>822.15</v>
      </c>
      <c r="P5" s="8" t="n">
        <v>781.96</v>
      </c>
      <c r="Q5" s="8" t="n">
        <v>738.86</v>
      </c>
      <c r="R5" s="8" t="n">
        <v>692.64</v>
      </c>
      <c r="S5" s="8" t="n">
        <v>643.0700000000001</v>
      </c>
      <c r="T5" s="8" t="n">
        <v>589.92</v>
      </c>
      <c r="U5" s="8" t="n">
        <v>532.92</v>
      </c>
      <c r="V5" s="8" t="n">
        <v>471.79</v>
      </c>
      <c r="W5" s="8" t="n">
        <v>406.23</v>
      </c>
      <c r="X5" s="8" t="n">
        <v>335.93</v>
      </c>
      <c r="Y5" s="8" t="n">
        <v>260.54</v>
      </c>
      <c r="Z5" s="8" t="n">
        <v>179.69</v>
      </c>
      <c r="AA5" s="8" t="n">
        <v>92.98</v>
      </c>
    </row>
    <row r="6">
      <c r="A6" s="4" t="inlineStr">
        <is>
          <t>Principal Payment ($)</t>
        </is>
      </c>
      <c r="B6" s="8" t="n">
        <v>0</v>
      </c>
      <c r="C6" s="8" t="n">
        <v>239.93</v>
      </c>
      <c r="D6" s="8" t="n">
        <v>257.31</v>
      </c>
      <c r="E6" s="8" t="n">
        <v>275.94</v>
      </c>
      <c r="F6" s="8" t="n">
        <v>295.91</v>
      </c>
      <c r="G6" s="8" t="n">
        <v>317.34</v>
      </c>
      <c r="H6" s="8" t="n">
        <v>340.31</v>
      </c>
      <c r="I6" s="8" t="n">
        <v>364.95</v>
      </c>
      <c r="J6" s="8" t="n">
        <v>391.37</v>
      </c>
      <c r="K6" s="8" t="n">
        <v>419.71</v>
      </c>
      <c r="L6" s="8" t="n">
        <v>450.1</v>
      </c>
      <c r="M6" s="8" t="n">
        <v>482.68</v>
      </c>
      <c r="N6" s="8" t="n">
        <v>517.63</v>
      </c>
      <c r="O6" s="8" t="n">
        <v>555.1</v>
      </c>
      <c r="P6" s="8" t="n">
        <v>595.29</v>
      </c>
      <c r="Q6" s="8" t="n">
        <v>638.39</v>
      </c>
      <c r="R6" s="8" t="n">
        <v>684.61</v>
      </c>
      <c r="S6" s="8" t="n">
        <v>734.1799999999999</v>
      </c>
      <c r="T6" s="8" t="n">
        <v>787.33</v>
      </c>
      <c r="U6" s="8" t="n">
        <v>844.34</v>
      </c>
      <c r="V6" s="8" t="n">
        <v>905.47</v>
      </c>
      <c r="W6" s="8" t="n">
        <v>971.02</v>
      </c>
      <c r="X6" s="8" t="n">
        <v>1041.32</v>
      </c>
      <c r="Y6" s="8" t="n">
        <v>1116.72</v>
      </c>
      <c r="Z6" s="8" t="n">
        <v>1197.57</v>
      </c>
      <c r="AA6" s="8" t="n">
        <v>1284.27</v>
      </c>
    </row>
    <row r="7">
      <c r="A7" s="4" t="inlineStr">
        <is>
          <t>Total P&amp;I Payment ($)</t>
        </is>
      </c>
      <c r="B7" s="8" t="n">
        <v>0</v>
      </c>
      <c r="C7" s="8" t="n">
        <v>1377.25</v>
      </c>
      <c r="D7" s="8" t="n">
        <v>1377.25</v>
      </c>
      <c r="E7" s="8" t="n">
        <v>1377.25</v>
      </c>
      <c r="F7" s="8" t="n">
        <v>1377.25</v>
      </c>
      <c r="G7" s="8" t="n">
        <v>1377.25</v>
      </c>
      <c r="H7" s="8" t="n">
        <v>1377.25</v>
      </c>
      <c r="I7" s="8" t="n">
        <v>1377.25</v>
      </c>
      <c r="J7" s="8" t="n">
        <v>1377.25</v>
      </c>
      <c r="K7" s="8" t="n">
        <v>1377.25</v>
      </c>
      <c r="L7" s="8" t="n">
        <v>1377.25</v>
      </c>
      <c r="M7" s="8" t="n">
        <v>1377.25</v>
      </c>
      <c r="N7" s="8" t="n">
        <v>1377.25</v>
      </c>
      <c r="O7" s="8" t="n">
        <v>1377.25</v>
      </c>
      <c r="P7" s="8" t="n">
        <v>1377.25</v>
      </c>
      <c r="Q7" s="8" t="n">
        <v>1377.25</v>
      </c>
      <c r="R7" s="8" t="n">
        <v>1377.25</v>
      </c>
      <c r="S7" s="8" t="n">
        <v>1377.25</v>
      </c>
      <c r="T7" s="8" t="n">
        <v>1377.25</v>
      </c>
      <c r="U7" s="8" t="n">
        <v>1377.25</v>
      </c>
      <c r="V7" s="8" t="n">
        <v>1377.25</v>
      </c>
      <c r="W7" s="8" t="n">
        <v>1377.25</v>
      </c>
      <c r="X7" s="8" t="n">
        <v>1377.25</v>
      </c>
      <c r="Y7" s="8" t="n">
        <v>1377.25</v>
      </c>
      <c r="Z7" s="8" t="n">
        <v>1377.25</v>
      </c>
      <c r="AA7" s="8" t="n">
        <v>1377.25</v>
      </c>
    </row>
    <row r="8">
      <c r="A8" s="4" t="inlineStr">
        <is>
          <t>Bill w/o System ($)</t>
        </is>
      </c>
      <c r="B8" s="8" t="n">
        <v>0</v>
      </c>
      <c r="C8" s="8" t="n">
        <v>2295.06</v>
      </c>
      <c r="D8" s="8" t="n">
        <v>2352.44</v>
      </c>
      <c r="E8" s="8" t="n">
        <v>2411.25</v>
      </c>
      <c r="F8" s="8" t="n">
        <v>2471.53</v>
      </c>
      <c r="G8" s="8" t="n">
        <v>2533.32</v>
      </c>
      <c r="H8" s="8" t="n">
        <v>2596.65</v>
      </c>
      <c r="I8" s="8" t="n">
        <v>2661.57</v>
      </c>
      <c r="J8" s="8" t="n">
        <v>2728.11</v>
      </c>
      <c r="K8" s="8" t="n">
        <v>2796.31</v>
      </c>
      <c r="L8" s="8" t="n">
        <v>2866.22</v>
      </c>
      <c r="M8" s="8" t="n">
        <v>2937.87</v>
      </c>
      <c r="N8" s="8" t="n">
        <v>3011.32</v>
      </c>
      <c r="O8" s="8" t="n">
        <v>3086.6</v>
      </c>
      <c r="P8" s="8" t="n">
        <v>3163.77</v>
      </c>
      <c r="Q8" s="8" t="n">
        <v>3242.86</v>
      </c>
      <c r="R8" s="8" t="n">
        <v>3323.93</v>
      </c>
      <c r="S8" s="8" t="n">
        <v>3407.03</v>
      </c>
      <c r="T8" s="8" t="n">
        <v>3492.21</v>
      </c>
      <c r="U8" s="8" t="n">
        <v>3579.51</v>
      </c>
      <c r="V8" s="8" t="n">
        <v>3669</v>
      </c>
      <c r="W8" s="8" t="n">
        <v>3760.72</v>
      </c>
      <c r="X8" s="8" t="n">
        <v>3854.74</v>
      </c>
      <c r="Y8" s="8" t="n">
        <v>3951.11</v>
      </c>
      <c r="Z8" s="8" t="n">
        <v>4049.89</v>
      </c>
      <c r="AA8" s="8" t="n">
        <v>4151.13</v>
      </c>
    </row>
    <row r="9">
      <c r="A9" s="4" t="inlineStr">
        <is>
          <t>Bill w/ System ($)</t>
        </is>
      </c>
      <c r="B9" s="8" t="n">
        <v>0</v>
      </c>
      <c r="C9" s="8" t="n">
        <v>848.8</v>
      </c>
      <c r="D9" s="8" t="n">
        <v>870.02</v>
      </c>
      <c r="E9" s="8" t="n">
        <v>891.77</v>
      </c>
      <c r="F9" s="8" t="n">
        <v>914.0599999999999</v>
      </c>
      <c r="G9" s="8" t="n">
        <v>936.92</v>
      </c>
      <c r="H9" s="8" t="n">
        <v>960.34</v>
      </c>
      <c r="I9" s="8" t="n">
        <v>984.35</v>
      </c>
      <c r="J9" s="8" t="n">
        <v>1008.96</v>
      </c>
      <c r="K9" s="8" t="n">
        <v>1034.18</v>
      </c>
      <c r="L9" s="8" t="n">
        <v>1060.03</v>
      </c>
      <c r="M9" s="8" t="n">
        <v>1086.54</v>
      </c>
      <c r="N9" s="8" t="n">
        <v>1113.7</v>
      </c>
      <c r="O9" s="8" t="n">
        <v>1141.54</v>
      </c>
      <c r="P9" s="8" t="n">
        <v>1170.08</v>
      </c>
      <c r="Q9" s="8" t="n">
        <v>1199.33</v>
      </c>
      <c r="R9" s="8" t="n">
        <v>1229.32</v>
      </c>
      <c r="S9" s="8" t="n">
        <v>1260.05</v>
      </c>
      <c r="T9" s="8" t="n">
        <v>1291.55</v>
      </c>
      <c r="U9" s="8" t="n">
        <v>1323.84</v>
      </c>
      <c r="V9" s="8" t="n">
        <v>1356.93</v>
      </c>
      <c r="W9" s="8" t="n">
        <v>1390.86</v>
      </c>
      <c r="X9" s="8" t="n">
        <v>1425.63</v>
      </c>
      <c r="Y9" s="8" t="n">
        <v>1461.27</v>
      </c>
      <c r="Z9" s="8" t="n">
        <v>1497.8</v>
      </c>
      <c r="AA9" s="8" t="n">
        <v>1535.25</v>
      </c>
    </row>
    <row r="10">
      <c r="A10" s="4" t="inlineStr">
        <is>
          <t>Bill Savings ($)</t>
        </is>
      </c>
      <c r="B10" s="8" t="n">
        <v>0</v>
      </c>
      <c r="C10" s="8" t="n">
        <v>1446.26</v>
      </c>
      <c r="D10" s="8" t="n">
        <v>1446.26</v>
      </c>
      <c r="E10" s="8" t="n">
        <v>1446.26</v>
      </c>
      <c r="F10" s="8" t="n">
        <v>1446.26</v>
      </c>
      <c r="G10" s="8" t="n">
        <v>1446.26</v>
      </c>
      <c r="H10" s="8" t="n">
        <v>1446.26</v>
      </c>
      <c r="I10" s="8" t="n">
        <v>1446.26</v>
      </c>
      <c r="J10" s="8" t="n">
        <v>1446.26</v>
      </c>
      <c r="K10" s="8" t="n">
        <v>1446.26</v>
      </c>
      <c r="L10" s="8" t="n">
        <v>1446.26</v>
      </c>
      <c r="M10" s="8" t="n">
        <v>1446.26</v>
      </c>
      <c r="N10" s="8" t="n">
        <v>1446.26</v>
      </c>
      <c r="O10" s="8" t="n">
        <v>1446.26</v>
      </c>
      <c r="P10" s="8" t="n">
        <v>1446.26</v>
      </c>
      <c r="Q10" s="8" t="n">
        <v>1446.26</v>
      </c>
      <c r="R10" s="8" t="n">
        <v>1446.26</v>
      </c>
      <c r="S10" s="8" t="n">
        <v>1446.26</v>
      </c>
      <c r="T10" s="8" t="n">
        <v>1446.26</v>
      </c>
      <c r="U10" s="8" t="n">
        <v>1446.26</v>
      </c>
      <c r="V10" s="8" t="n">
        <v>1446.26</v>
      </c>
      <c r="W10" s="8" t="n">
        <v>1446.26</v>
      </c>
      <c r="X10" s="8" t="n">
        <v>1446.26</v>
      </c>
      <c r="Y10" s="8" t="n">
        <v>1446.26</v>
      </c>
      <c r="Z10" s="8" t="n">
        <v>1446.26</v>
      </c>
      <c r="AA10" s="8" t="n">
        <v>1446.26</v>
      </c>
    </row>
    <row r="11">
      <c r="A11" s="4" t="inlineStr">
        <is>
          <t>Escalated Bill Savings ($)</t>
        </is>
      </c>
      <c r="B11" s="8" t="n">
        <v>0</v>
      </c>
      <c r="C11" s="8" t="n">
        <v>1446.26</v>
      </c>
      <c r="D11" s="8" t="n">
        <v>1482.42</v>
      </c>
      <c r="E11" s="8" t="n">
        <v>1519.48</v>
      </c>
      <c r="F11" s="8" t="n">
        <v>1557.46</v>
      </c>
      <c r="G11" s="8" t="n">
        <v>1596.4</v>
      </c>
      <c r="H11" s="8" t="n">
        <v>1636.31</v>
      </c>
      <c r="I11" s="8" t="n">
        <v>1677.22</v>
      </c>
      <c r="J11" s="8" t="n">
        <v>1719.15</v>
      </c>
      <c r="K11" s="8" t="n">
        <v>1762.13</v>
      </c>
      <c r="L11" s="8" t="n">
        <v>1806.18</v>
      </c>
      <c r="M11" s="8" t="n">
        <v>1851.34</v>
      </c>
      <c r="N11" s="8" t="n">
        <v>1897.62</v>
      </c>
      <c r="O11" s="8" t="n">
        <v>1945.06</v>
      </c>
      <c r="P11" s="8" t="n">
        <v>1993.69</v>
      </c>
      <c r="Q11" s="8" t="n">
        <v>2043.53</v>
      </c>
      <c r="R11" s="8" t="n">
        <v>2094.62</v>
      </c>
      <c r="S11" s="8" t="n">
        <v>2146.98</v>
      </c>
      <c r="T11" s="8" t="n">
        <v>2200.66</v>
      </c>
      <c r="U11" s="8" t="n">
        <v>2255.67</v>
      </c>
      <c r="V11" s="8" t="n">
        <v>2312.06</v>
      </c>
      <c r="W11" s="8" t="n">
        <v>2369.87</v>
      </c>
      <c r="X11" s="8" t="n">
        <v>2429.11</v>
      </c>
      <c r="Y11" s="8" t="n">
        <v>2489.84</v>
      </c>
      <c r="Z11" s="8" t="n">
        <v>2552.09</v>
      </c>
      <c r="AA11" s="8" t="n">
        <v>2615.89</v>
      </c>
    </row>
    <row r="12">
      <c r="A12" s="4" t="inlineStr">
        <is>
          <t>SMART Annual ($)</t>
        </is>
      </c>
      <c r="B12" s="8" t="n">
        <v>0</v>
      </c>
      <c r="C12" s="8" t="n">
        <v>347.64</v>
      </c>
      <c r="D12" s="8" t="n">
        <v>347.64</v>
      </c>
      <c r="E12" s="8" t="n">
        <v>347.64</v>
      </c>
      <c r="F12" s="8" t="n">
        <v>347.64</v>
      </c>
      <c r="G12" s="8" t="n">
        <v>347.64</v>
      </c>
      <c r="H12" s="8" t="n">
        <v>347.64</v>
      </c>
      <c r="I12" s="8" t="n">
        <v>347.64</v>
      </c>
      <c r="J12" s="8" t="n">
        <v>347.64</v>
      </c>
      <c r="K12" s="8" t="n">
        <v>347.64</v>
      </c>
      <c r="L12" s="8" t="n">
        <v>347.64</v>
      </c>
      <c r="M12" s="8" t="n">
        <v>347.64</v>
      </c>
      <c r="N12" s="8" t="n">
        <v>347.64</v>
      </c>
      <c r="O12" s="8" t="n">
        <v>347.64</v>
      </c>
      <c r="P12" s="8" t="n">
        <v>347.64</v>
      </c>
      <c r="Q12" s="8" t="n">
        <v>347.64</v>
      </c>
      <c r="R12" s="8" t="n">
        <v>347.64</v>
      </c>
      <c r="S12" s="8" t="n">
        <v>347.64</v>
      </c>
      <c r="T12" s="8" t="n">
        <v>347.64</v>
      </c>
      <c r="U12" s="8" t="n">
        <v>347.64</v>
      </c>
      <c r="V12" s="8" t="n">
        <v>347.64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</row>
    <row r="13">
      <c r="A13" s="4" t="inlineStr">
        <is>
          <t>ConnectedSolutions ($)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</row>
    <row r="14">
      <c r="A14" s="4" t="inlineStr">
        <is>
          <t>Total Incentive Annual ($)</t>
        </is>
      </c>
      <c r="B14" s="8" t="n">
        <v>0</v>
      </c>
      <c r="C14" s="8" t="n">
        <v>347.64</v>
      </c>
      <c r="D14" s="8" t="n">
        <v>347.64</v>
      </c>
      <c r="E14" s="8" t="n">
        <v>347.64</v>
      </c>
      <c r="F14" s="8" t="n">
        <v>347.64</v>
      </c>
      <c r="G14" s="8" t="n">
        <v>347.64</v>
      </c>
      <c r="H14" s="8" t="n">
        <v>347.64</v>
      </c>
      <c r="I14" s="8" t="n">
        <v>347.64</v>
      </c>
      <c r="J14" s="8" t="n">
        <v>347.64</v>
      </c>
      <c r="K14" s="8" t="n">
        <v>347.64</v>
      </c>
      <c r="L14" s="8" t="n">
        <v>347.64</v>
      </c>
      <c r="M14" s="8" t="n">
        <v>347.64</v>
      </c>
      <c r="N14" s="8" t="n">
        <v>347.64</v>
      </c>
      <c r="O14" s="8" t="n">
        <v>347.64</v>
      </c>
      <c r="P14" s="8" t="n">
        <v>347.64</v>
      </c>
      <c r="Q14" s="8" t="n">
        <v>347.64</v>
      </c>
      <c r="R14" s="8" t="n">
        <v>347.64</v>
      </c>
      <c r="S14" s="8" t="n">
        <v>347.64</v>
      </c>
      <c r="T14" s="8" t="n">
        <v>347.64</v>
      </c>
      <c r="U14" s="8" t="n">
        <v>347.64</v>
      </c>
      <c r="V14" s="8" t="n">
        <v>347.64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</row>
    <row r="15">
      <c r="A15" s="11" t="inlineStr">
        <is>
          <t>Simple Payback (yr)</t>
        </is>
      </c>
      <c r="B15" s="14">
        <f>IF((C10+C11)&gt;0,B4/(C10+C11),"N/A")</f>
        <v/>
      </c>
      <c r="C15" s="8" t="n">
        <v>1793.9</v>
      </c>
      <c r="D15" s="8" t="n">
        <v>1830.06</v>
      </c>
      <c r="E15" s="8" t="n">
        <v>1867.12</v>
      </c>
      <c r="F15" s="8" t="n">
        <v>1905.1</v>
      </c>
      <c r="G15" s="8" t="n">
        <v>1944.04</v>
      </c>
      <c r="H15" s="8" t="n">
        <v>1983.95</v>
      </c>
      <c r="I15" s="8" t="n">
        <v>2024.86</v>
      </c>
      <c r="J15" s="8" t="n">
        <v>2066.79</v>
      </c>
      <c r="K15" s="8" t="n">
        <v>2109.77</v>
      </c>
      <c r="L15" s="8" t="n">
        <v>2153.82</v>
      </c>
      <c r="M15" s="8" t="n">
        <v>2198.98</v>
      </c>
      <c r="N15" s="8" t="n">
        <v>2245.26</v>
      </c>
      <c r="O15" s="8" t="n">
        <v>2292.7</v>
      </c>
      <c r="P15" s="8" t="n">
        <v>2341.33</v>
      </c>
      <c r="Q15" s="8" t="n">
        <v>2391.17</v>
      </c>
      <c r="R15" s="8" t="n">
        <v>2442.26</v>
      </c>
      <c r="S15" s="8" t="n">
        <v>2494.62</v>
      </c>
      <c r="T15" s="8" t="n">
        <v>2548.3</v>
      </c>
      <c r="U15" s="8" t="n">
        <v>2603.31</v>
      </c>
      <c r="V15" s="8" t="n">
        <v>2659.7</v>
      </c>
      <c r="W15" s="8" t="n">
        <v>2369.87</v>
      </c>
      <c r="X15" s="8" t="n">
        <v>2429.11</v>
      </c>
      <c r="Y15" s="8" t="n">
        <v>2489.84</v>
      </c>
      <c r="Z15" s="8" t="n">
        <v>2552.09</v>
      </c>
      <c r="AA15" s="8" t="n">
        <v>2615.89</v>
      </c>
    </row>
    <row r="16">
      <c r="A16" s="11" t="inlineStr">
        <is>
          <t>NPV Breakeven Year</t>
        </is>
      </c>
      <c r="B16" s="15" t="inlineStr">
        <is>
          <t>See Cumulative NPV row 14 for first year ≥ 0</t>
        </is>
      </c>
      <c r="C16" s="12" t="n">
        <v>416.65</v>
      </c>
      <c r="D16" s="12" t="n">
        <v>452.8</v>
      </c>
      <c r="E16" s="12" t="n">
        <v>489.86</v>
      </c>
      <c r="F16" s="12" t="n">
        <v>527.85</v>
      </c>
      <c r="G16" s="12" t="n">
        <v>566.79</v>
      </c>
      <c r="H16" s="12" t="n">
        <v>606.7</v>
      </c>
      <c r="I16" s="12" t="n">
        <v>647.61</v>
      </c>
      <c r="J16" s="12" t="n">
        <v>689.54</v>
      </c>
      <c r="K16" s="12" t="n">
        <v>732.52</v>
      </c>
      <c r="L16" s="12" t="n">
        <v>776.5700000000001</v>
      </c>
      <c r="M16" s="12" t="n">
        <v>821.72</v>
      </c>
      <c r="N16" s="12" t="n">
        <v>868.01</v>
      </c>
      <c r="O16" s="12" t="n">
        <v>915.45</v>
      </c>
      <c r="P16" s="12" t="n">
        <v>964.0700000000001</v>
      </c>
      <c r="Q16" s="12" t="n">
        <v>1013.92</v>
      </c>
      <c r="R16" s="12" t="n">
        <v>1065</v>
      </c>
      <c r="S16" s="12" t="n">
        <v>1117.37</v>
      </c>
      <c r="T16" s="12" t="n">
        <v>1171.04</v>
      </c>
      <c r="U16" s="12" t="n">
        <v>1226.06</v>
      </c>
      <c r="V16" s="12" t="n">
        <v>1282.45</v>
      </c>
      <c r="W16" s="12" t="n">
        <v>992.61</v>
      </c>
      <c r="X16" s="12" t="n">
        <v>1051.86</v>
      </c>
      <c r="Y16" s="12" t="n">
        <v>1112.59</v>
      </c>
      <c r="Z16" s="12" t="n">
        <v>1174.83</v>
      </c>
      <c r="AA16" s="12" t="n">
        <v>1238.64</v>
      </c>
    </row>
    <row r="17">
      <c r="A17" s="4" t="inlineStr">
        <is>
          <t>Discounted Net Savings ($)</t>
        </is>
      </c>
      <c r="B17" s="8" t="n">
        <v>0</v>
      </c>
      <c r="C17" s="8" t="n">
        <v>391.59</v>
      </c>
      <c r="D17" s="8" t="n">
        <v>399.97</v>
      </c>
      <c r="E17" s="8" t="n">
        <v>406.68</v>
      </c>
      <c r="F17" s="8" t="n">
        <v>411.86</v>
      </c>
      <c r="G17" s="8" t="n">
        <v>415.64</v>
      </c>
      <c r="H17" s="8" t="n">
        <v>418.14</v>
      </c>
      <c r="I17" s="8" t="n">
        <v>419.49</v>
      </c>
      <c r="J17" s="8" t="n">
        <v>419.78</v>
      </c>
      <c r="K17" s="8" t="n">
        <v>419.12</v>
      </c>
      <c r="L17" s="8" t="n">
        <v>417.6</v>
      </c>
      <c r="M17" s="8" t="n">
        <v>415.31</v>
      </c>
      <c r="N17" s="8" t="n">
        <v>412.31</v>
      </c>
      <c r="O17" s="8" t="n">
        <v>408.69</v>
      </c>
      <c r="P17" s="8" t="n">
        <v>404.51</v>
      </c>
      <c r="Q17" s="8" t="n">
        <v>399.83</v>
      </c>
      <c r="R17" s="8" t="n">
        <v>394.72</v>
      </c>
      <c r="S17" s="8" t="n">
        <v>389.21</v>
      </c>
      <c r="T17" s="8" t="n">
        <v>383.38</v>
      </c>
      <c r="U17" s="8" t="n">
        <v>377.24</v>
      </c>
      <c r="V17" s="8" t="n">
        <v>370.86</v>
      </c>
      <c r="W17" s="8" t="n">
        <v>269.78</v>
      </c>
      <c r="X17" s="8" t="n">
        <v>268.68</v>
      </c>
      <c r="Y17" s="8" t="n">
        <v>267.1</v>
      </c>
      <c r="Z17" s="8" t="n">
        <v>265.08</v>
      </c>
      <c r="AA17" s="8" t="n">
        <v>262.67</v>
      </c>
    </row>
    <row r="18">
      <c r="A18" s="4" t="inlineStr">
        <is>
          <t>Cumulative NPV ($)</t>
        </is>
      </c>
      <c r="B18" s="8" t="n">
        <v>0</v>
      </c>
      <c r="C18" s="8" t="n">
        <v>391.59</v>
      </c>
      <c r="D18" s="8" t="n">
        <v>791.5599999999999</v>
      </c>
      <c r="E18" s="8" t="n">
        <v>1198.24</v>
      </c>
      <c r="F18" s="8" t="n">
        <v>1610.09</v>
      </c>
      <c r="G18" s="8" t="n">
        <v>2025.73</v>
      </c>
      <c r="H18" s="8" t="n">
        <v>2443.87</v>
      </c>
      <c r="I18" s="8" t="n">
        <v>2863.36</v>
      </c>
      <c r="J18" s="8" t="n">
        <v>3283.14</v>
      </c>
      <c r="K18" s="8" t="n">
        <v>3702.26</v>
      </c>
      <c r="L18" s="8" t="n">
        <v>4119.87</v>
      </c>
      <c r="M18" s="8" t="n">
        <v>4535.17</v>
      </c>
      <c r="N18" s="8" t="n">
        <v>4947.48</v>
      </c>
      <c r="O18" s="8" t="n">
        <v>5356.17</v>
      </c>
      <c r="P18" s="8" t="n">
        <v>5760.68</v>
      </c>
      <c r="Q18" s="8" t="n">
        <v>6160.51</v>
      </c>
      <c r="R18" s="8" t="n">
        <v>6555.23</v>
      </c>
      <c r="S18" s="8" t="n">
        <v>6944.44</v>
      </c>
      <c r="T18" s="8" t="n">
        <v>7327.82</v>
      </c>
      <c r="U18" s="8" t="n">
        <v>7705.06</v>
      </c>
      <c r="V18" s="8" t="n">
        <v>8075.92</v>
      </c>
      <c r="W18" s="8" t="n">
        <v>8345.690000000001</v>
      </c>
      <c r="X18" s="8" t="n">
        <v>8614.379999999999</v>
      </c>
      <c r="Y18" s="8" t="n">
        <v>8881.48</v>
      </c>
      <c r="Z18" s="8" t="n">
        <v>9146.559999999999</v>
      </c>
      <c r="AA18" s="8" t="n">
        <v>9409.23</v>
      </c>
    </row>
    <row r="19"/>
    <row r="20"/>
    <row r="21">
      <c r="A21" s="10" t="inlineStr">
        <is>
          <t>Eversource Solar — No Incentives</t>
        </is>
      </c>
    </row>
    <row r="22">
      <c r="A22" s="2" t="inlineStr">
        <is>
          <t>Debt: $16,709 | PMT: $1,465/yr | Bill Savings Y1: $1,446</t>
        </is>
      </c>
    </row>
    <row r="23">
      <c r="A23" s="11" t="inlineStr">
        <is>
          <t>Year</t>
        </is>
      </c>
      <c r="B23" s="11" t="n">
        <v>0</v>
      </c>
      <c r="C23" s="11" t="n">
        <v>1</v>
      </c>
      <c r="D23" s="11" t="n">
        <v>2</v>
      </c>
      <c r="E23" s="11" t="n">
        <v>3</v>
      </c>
      <c r="F23" s="11" t="n">
        <v>4</v>
      </c>
      <c r="G23" s="11" t="n">
        <v>5</v>
      </c>
      <c r="H23" s="11" t="n">
        <v>6</v>
      </c>
      <c r="I23" s="11" t="n">
        <v>7</v>
      </c>
      <c r="J23" s="11" t="n">
        <v>8</v>
      </c>
      <c r="K23" s="11" t="n">
        <v>9</v>
      </c>
      <c r="L23" s="11" t="n">
        <v>10</v>
      </c>
      <c r="M23" s="11" t="n">
        <v>11</v>
      </c>
      <c r="N23" s="11" t="n">
        <v>12</v>
      </c>
      <c r="O23" s="11" t="n">
        <v>13</v>
      </c>
      <c r="P23" s="11" t="n">
        <v>14</v>
      </c>
      <c r="Q23" s="11" t="n">
        <v>15</v>
      </c>
      <c r="R23" s="11" t="n">
        <v>16</v>
      </c>
      <c r="S23" s="11" t="n">
        <v>17</v>
      </c>
      <c r="T23" s="11" t="n">
        <v>18</v>
      </c>
      <c r="U23" s="11" t="n">
        <v>19</v>
      </c>
      <c r="V23" s="11" t="n">
        <v>20</v>
      </c>
      <c r="W23" s="11" t="n">
        <v>21</v>
      </c>
      <c r="X23" s="11" t="n">
        <v>22</v>
      </c>
      <c r="Y23" s="11" t="n">
        <v>23</v>
      </c>
      <c r="Z23" s="11" t="n">
        <v>24</v>
      </c>
      <c r="AA23" s="11" t="n">
        <v>25</v>
      </c>
    </row>
    <row r="24">
      <c r="A24" s="4" t="inlineStr">
        <is>
          <t>Debt Balance ($)</t>
        </is>
      </c>
      <c r="B24" s="8" t="n">
        <v>16708.8</v>
      </c>
      <c r="C24" s="8" t="n">
        <v>16453.59</v>
      </c>
      <c r="D24" s="8" t="n">
        <v>16179.91</v>
      </c>
      <c r="E24" s="8" t="n">
        <v>15886.4</v>
      </c>
      <c r="F24" s="8" t="n">
        <v>15571.65</v>
      </c>
      <c r="G24" s="8" t="n">
        <v>15234.12</v>
      </c>
      <c r="H24" s="8" t="n">
        <v>14872.14</v>
      </c>
      <c r="I24" s="8" t="n">
        <v>14483.96</v>
      </c>
      <c r="J24" s="8" t="n">
        <v>14067.67</v>
      </c>
      <c r="K24" s="8" t="n">
        <v>13621.24</v>
      </c>
      <c r="L24" s="8" t="n">
        <v>13142.5</v>
      </c>
      <c r="M24" s="8" t="n">
        <v>12629.09</v>
      </c>
      <c r="N24" s="8" t="n">
        <v>12078.51</v>
      </c>
      <c r="O24" s="8" t="n">
        <v>11488.07</v>
      </c>
      <c r="P24" s="8" t="n">
        <v>10854.88</v>
      </c>
      <c r="Q24" s="8" t="n">
        <v>10175.84</v>
      </c>
      <c r="R24" s="8" t="n">
        <v>9447.65</v>
      </c>
      <c r="S24" s="8" t="n">
        <v>8666.73</v>
      </c>
      <c r="T24" s="8" t="n">
        <v>7829.28</v>
      </c>
      <c r="U24" s="8" t="n">
        <v>6931.19</v>
      </c>
      <c r="V24" s="8" t="n">
        <v>5968.08</v>
      </c>
      <c r="W24" s="8" t="n">
        <v>4935.25</v>
      </c>
      <c r="X24" s="8" t="n">
        <v>3827.63</v>
      </c>
      <c r="Y24" s="8" t="n">
        <v>2639.83</v>
      </c>
      <c r="Z24" s="8" t="n">
        <v>1366.03</v>
      </c>
      <c r="AA24" s="8" t="n">
        <v>0</v>
      </c>
    </row>
    <row r="25">
      <c r="A25" s="4" t="inlineStr">
        <is>
          <t>Interest Payment ($)</t>
        </is>
      </c>
      <c r="B25" s="8" t="n">
        <v>0</v>
      </c>
      <c r="C25" s="8" t="n">
        <v>1209.72</v>
      </c>
      <c r="D25" s="8" t="n">
        <v>1191.24</v>
      </c>
      <c r="E25" s="8" t="n">
        <v>1171.43</v>
      </c>
      <c r="F25" s="8" t="n">
        <v>1150.18</v>
      </c>
      <c r="G25" s="8" t="n">
        <v>1127.39</v>
      </c>
      <c r="H25" s="8" t="n">
        <v>1102.95</v>
      </c>
      <c r="I25" s="8" t="n">
        <v>1076.74</v>
      </c>
      <c r="J25" s="8" t="n">
        <v>1048.64</v>
      </c>
      <c r="K25" s="8" t="n">
        <v>1018.5</v>
      </c>
      <c r="L25" s="8" t="n">
        <v>986.1799999999999</v>
      </c>
      <c r="M25" s="8" t="n">
        <v>951.52</v>
      </c>
      <c r="N25" s="8" t="n">
        <v>914.35</v>
      </c>
      <c r="O25" s="8" t="n">
        <v>874.48</v>
      </c>
      <c r="P25" s="8" t="n">
        <v>831.74</v>
      </c>
      <c r="Q25" s="8" t="n">
        <v>785.89</v>
      </c>
      <c r="R25" s="8" t="n">
        <v>736.73</v>
      </c>
      <c r="S25" s="8" t="n">
        <v>684.01</v>
      </c>
      <c r="T25" s="8" t="n">
        <v>627.47</v>
      </c>
      <c r="U25" s="8" t="n">
        <v>566.84</v>
      </c>
      <c r="V25" s="8" t="n">
        <v>501.82</v>
      </c>
      <c r="W25" s="8" t="n">
        <v>432.09</v>
      </c>
      <c r="X25" s="8" t="n">
        <v>357.31</v>
      </c>
      <c r="Y25" s="8" t="n">
        <v>277.12</v>
      </c>
      <c r="Z25" s="8" t="n">
        <v>191.12</v>
      </c>
      <c r="AA25" s="8" t="n">
        <v>98.90000000000001</v>
      </c>
    </row>
    <row r="26">
      <c r="A26" s="4" t="inlineStr">
        <is>
          <t>Principal Payment ($)</t>
        </is>
      </c>
      <c r="B26" s="8" t="n">
        <v>0</v>
      </c>
      <c r="C26" s="8" t="n">
        <v>255.21</v>
      </c>
      <c r="D26" s="8" t="n">
        <v>273.69</v>
      </c>
      <c r="E26" s="8" t="n">
        <v>293.5</v>
      </c>
      <c r="F26" s="8" t="n">
        <v>314.75</v>
      </c>
      <c r="G26" s="8" t="n">
        <v>337.54</v>
      </c>
      <c r="H26" s="8" t="n">
        <v>361.98</v>
      </c>
      <c r="I26" s="8" t="n">
        <v>388.18</v>
      </c>
      <c r="J26" s="8" t="n">
        <v>416.29</v>
      </c>
      <c r="K26" s="8" t="n">
        <v>446.43</v>
      </c>
      <c r="L26" s="8" t="n">
        <v>478.75</v>
      </c>
      <c r="M26" s="8" t="n">
        <v>513.41</v>
      </c>
      <c r="N26" s="8" t="n">
        <v>550.58</v>
      </c>
      <c r="O26" s="8" t="n">
        <v>590.4400000000001</v>
      </c>
      <c r="P26" s="8" t="n">
        <v>633.1900000000001</v>
      </c>
      <c r="Q26" s="8" t="n">
        <v>679.03</v>
      </c>
      <c r="R26" s="8" t="n">
        <v>728.1900000000001</v>
      </c>
      <c r="S26" s="8" t="n">
        <v>780.92</v>
      </c>
      <c r="T26" s="8" t="n">
        <v>837.45</v>
      </c>
      <c r="U26" s="8" t="n">
        <v>898.09</v>
      </c>
      <c r="V26" s="8" t="n">
        <v>963.11</v>
      </c>
      <c r="W26" s="8" t="n">
        <v>1032.84</v>
      </c>
      <c r="X26" s="8" t="n">
        <v>1107.61</v>
      </c>
      <c r="Y26" s="8" t="n">
        <v>1187.81</v>
      </c>
      <c r="Z26" s="8" t="n">
        <v>1273.8</v>
      </c>
      <c r="AA26" s="8" t="n">
        <v>1366.03</v>
      </c>
    </row>
    <row r="27">
      <c r="A27" s="4" t="inlineStr">
        <is>
          <t>Total P&amp;I Payment ($)</t>
        </is>
      </c>
      <c r="B27" s="8" t="n">
        <v>0</v>
      </c>
      <c r="C27" s="8" t="n">
        <v>1464.93</v>
      </c>
      <c r="D27" s="8" t="n">
        <v>1464.93</v>
      </c>
      <c r="E27" s="8" t="n">
        <v>1464.93</v>
      </c>
      <c r="F27" s="8" t="n">
        <v>1464.93</v>
      </c>
      <c r="G27" s="8" t="n">
        <v>1464.93</v>
      </c>
      <c r="H27" s="8" t="n">
        <v>1464.93</v>
      </c>
      <c r="I27" s="8" t="n">
        <v>1464.93</v>
      </c>
      <c r="J27" s="8" t="n">
        <v>1464.93</v>
      </c>
      <c r="K27" s="8" t="n">
        <v>1464.93</v>
      </c>
      <c r="L27" s="8" t="n">
        <v>1464.93</v>
      </c>
      <c r="M27" s="8" t="n">
        <v>1464.93</v>
      </c>
      <c r="N27" s="8" t="n">
        <v>1464.93</v>
      </c>
      <c r="O27" s="8" t="n">
        <v>1464.93</v>
      </c>
      <c r="P27" s="8" t="n">
        <v>1464.93</v>
      </c>
      <c r="Q27" s="8" t="n">
        <v>1464.93</v>
      </c>
      <c r="R27" s="8" t="n">
        <v>1464.93</v>
      </c>
      <c r="S27" s="8" t="n">
        <v>1464.93</v>
      </c>
      <c r="T27" s="8" t="n">
        <v>1464.93</v>
      </c>
      <c r="U27" s="8" t="n">
        <v>1464.93</v>
      </c>
      <c r="V27" s="8" t="n">
        <v>1464.93</v>
      </c>
      <c r="W27" s="8" t="n">
        <v>1464.93</v>
      </c>
      <c r="X27" s="8" t="n">
        <v>1464.93</v>
      </c>
      <c r="Y27" s="8" t="n">
        <v>1464.93</v>
      </c>
      <c r="Z27" s="8" t="n">
        <v>1464.93</v>
      </c>
      <c r="AA27" s="8" t="n">
        <v>1464.93</v>
      </c>
    </row>
    <row r="28">
      <c r="A28" s="4" t="inlineStr">
        <is>
          <t>Bill w/o System ($)</t>
        </is>
      </c>
      <c r="B28" s="8" t="n">
        <v>0</v>
      </c>
      <c r="C28" s="8" t="n">
        <v>2295.06</v>
      </c>
      <c r="D28" s="8" t="n">
        <v>2352.44</v>
      </c>
      <c r="E28" s="8" t="n">
        <v>2411.25</v>
      </c>
      <c r="F28" s="8" t="n">
        <v>2471.53</v>
      </c>
      <c r="G28" s="8" t="n">
        <v>2533.32</v>
      </c>
      <c r="H28" s="8" t="n">
        <v>2596.65</v>
      </c>
      <c r="I28" s="8" t="n">
        <v>2661.57</v>
      </c>
      <c r="J28" s="8" t="n">
        <v>2728.11</v>
      </c>
      <c r="K28" s="8" t="n">
        <v>2796.31</v>
      </c>
      <c r="L28" s="8" t="n">
        <v>2866.22</v>
      </c>
      <c r="M28" s="8" t="n">
        <v>2937.87</v>
      </c>
      <c r="N28" s="8" t="n">
        <v>3011.32</v>
      </c>
      <c r="O28" s="8" t="n">
        <v>3086.6</v>
      </c>
      <c r="P28" s="8" t="n">
        <v>3163.77</v>
      </c>
      <c r="Q28" s="8" t="n">
        <v>3242.86</v>
      </c>
      <c r="R28" s="8" t="n">
        <v>3323.93</v>
      </c>
      <c r="S28" s="8" t="n">
        <v>3407.03</v>
      </c>
      <c r="T28" s="8" t="n">
        <v>3492.21</v>
      </c>
      <c r="U28" s="8" t="n">
        <v>3579.51</v>
      </c>
      <c r="V28" s="8" t="n">
        <v>3669</v>
      </c>
      <c r="W28" s="8" t="n">
        <v>3760.72</v>
      </c>
      <c r="X28" s="8" t="n">
        <v>3854.74</v>
      </c>
      <c r="Y28" s="8" t="n">
        <v>3951.11</v>
      </c>
      <c r="Z28" s="8" t="n">
        <v>4049.89</v>
      </c>
      <c r="AA28" s="8" t="n">
        <v>4151.13</v>
      </c>
    </row>
    <row r="29">
      <c r="A29" s="4" t="inlineStr">
        <is>
          <t>Bill w/ System ($)</t>
        </is>
      </c>
      <c r="B29" s="8" t="n">
        <v>0</v>
      </c>
      <c r="C29" s="8" t="n">
        <v>848.8</v>
      </c>
      <c r="D29" s="8" t="n">
        <v>870.02</v>
      </c>
      <c r="E29" s="8" t="n">
        <v>891.77</v>
      </c>
      <c r="F29" s="8" t="n">
        <v>914.0599999999999</v>
      </c>
      <c r="G29" s="8" t="n">
        <v>936.92</v>
      </c>
      <c r="H29" s="8" t="n">
        <v>960.34</v>
      </c>
      <c r="I29" s="8" t="n">
        <v>984.35</v>
      </c>
      <c r="J29" s="8" t="n">
        <v>1008.96</v>
      </c>
      <c r="K29" s="8" t="n">
        <v>1034.18</v>
      </c>
      <c r="L29" s="8" t="n">
        <v>1060.03</v>
      </c>
      <c r="M29" s="8" t="n">
        <v>1086.54</v>
      </c>
      <c r="N29" s="8" t="n">
        <v>1113.7</v>
      </c>
      <c r="O29" s="8" t="n">
        <v>1141.54</v>
      </c>
      <c r="P29" s="8" t="n">
        <v>1170.08</v>
      </c>
      <c r="Q29" s="8" t="n">
        <v>1199.33</v>
      </c>
      <c r="R29" s="8" t="n">
        <v>1229.32</v>
      </c>
      <c r="S29" s="8" t="n">
        <v>1260.05</v>
      </c>
      <c r="T29" s="8" t="n">
        <v>1291.55</v>
      </c>
      <c r="U29" s="8" t="n">
        <v>1323.84</v>
      </c>
      <c r="V29" s="8" t="n">
        <v>1356.93</v>
      </c>
      <c r="W29" s="8" t="n">
        <v>1390.86</v>
      </c>
      <c r="X29" s="8" t="n">
        <v>1425.63</v>
      </c>
      <c r="Y29" s="8" t="n">
        <v>1461.27</v>
      </c>
      <c r="Z29" s="8" t="n">
        <v>1497.8</v>
      </c>
      <c r="AA29" s="8" t="n">
        <v>1535.25</v>
      </c>
    </row>
    <row r="30">
      <c r="A30" s="4" t="inlineStr">
        <is>
          <t>Bill Savings ($)</t>
        </is>
      </c>
      <c r="B30" s="8" t="n">
        <v>0</v>
      </c>
      <c r="C30" s="8" t="n">
        <v>1446.26</v>
      </c>
      <c r="D30" s="8" t="n">
        <v>1446.26</v>
      </c>
      <c r="E30" s="8" t="n">
        <v>1446.26</v>
      </c>
      <c r="F30" s="8" t="n">
        <v>1446.26</v>
      </c>
      <c r="G30" s="8" t="n">
        <v>1446.26</v>
      </c>
      <c r="H30" s="8" t="n">
        <v>1446.26</v>
      </c>
      <c r="I30" s="8" t="n">
        <v>1446.26</v>
      </c>
      <c r="J30" s="8" t="n">
        <v>1446.26</v>
      </c>
      <c r="K30" s="8" t="n">
        <v>1446.26</v>
      </c>
      <c r="L30" s="8" t="n">
        <v>1446.26</v>
      </c>
      <c r="M30" s="8" t="n">
        <v>1446.26</v>
      </c>
      <c r="N30" s="8" t="n">
        <v>1446.26</v>
      </c>
      <c r="O30" s="8" t="n">
        <v>1446.26</v>
      </c>
      <c r="P30" s="8" t="n">
        <v>1446.26</v>
      </c>
      <c r="Q30" s="8" t="n">
        <v>1446.26</v>
      </c>
      <c r="R30" s="8" t="n">
        <v>1446.26</v>
      </c>
      <c r="S30" s="8" t="n">
        <v>1446.26</v>
      </c>
      <c r="T30" s="8" t="n">
        <v>1446.26</v>
      </c>
      <c r="U30" s="8" t="n">
        <v>1446.26</v>
      </c>
      <c r="V30" s="8" t="n">
        <v>1446.26</v>
      </c>
      <c r="W30" s="8" t="n">
        <v>1446.26</v>
      </c>
      <c r="X30" s="8" t="n">
        <v>1446.26</v>
      </c>
      <c r="Y30" s="8" t="n">
        <v>1446.26</v>
      </c>
      <c r="Z30" s="8" t="n">
        <v>1446.26</v>
      </c>
      <c r="AA30" s="8" t="n">
        <v>1446.26</v>
      </c>
    </row>
    <row r="31">
      <c r="A31" s="4" t="inlineStr">
        <is>
          <t>Escalated Bill Savings ($)</t>
        </is>
      </c>
      <c r="B31" s="8" t="n">
        <v>0</v>
      </c>
      <c r="C31" s="8" t="n">
        <v>1446.26</v>
      </c>
      <c r="D31" s="8" t="n">
        <v>1482.42</v>
      </c>
      <c r="E31" s="8" t="n">
        <v>1519.48</v>
      </c>
      <c r="F31" s="8" t="n">
        <v>1557.46</v>
      </c>
      <c r="G31" s="8" t="n">
        <v>1596.4</v>
      </c>
      <c r="H31" s="8" t="n">
        <v>1636.31</v>
      </c>
      <c r="I31" s="8" t="n">
        <v>1677.22</v>
      </c>
      <c r="J31" s="8" t="n">
        <v>1719.15</v>
      </c>
      <c r="K31" s="8" t="n">
        <v>1762.13</v>
      </c>
      <c r="L31" s="8" t="n">
        <v>1806.18</v>
      </c>
      <c r="M31" s="8" t="n">
        <v>1851.34</v>
      </c>
      <c r="N31" s="8" t="n">
        <v>1897.62</v>
      </c>
      <c r="O31" s="8" t="n">
        <v>1945.06</v>
      </c>
      <c r="P31" s="8" t="n">
        <v>1993.69</v>
      </c>
      <c r="Q31" s="8" t="n">
        <v>2043.53</v>
      </c>
      <c r="R31" s="8" t="n">
        <v>2094.62</v>
      </c>
      <c r="S31" s="8" t="n">
        <v>2146.98</v>
      </c>
      <c r="T31" s="8" t="n">
        <v>2200.66</v>
      </c>
      <c r="U31" s="8" t="n">
        <v>2255.67</v>
      </c>
      <c r="V31" s="8" t="n">
        <v>2312.06</v>
      </c>
      <c r="W31" s="8" t="n">
        <v>2369.87</v>
      </c>
      <c r="X31" s="8" t="n">
        <v>2429.11</v>
      </c>
      <c r="Y31" s="8" t="n">
        <v>2489.84</v>
      </c>
      <c r="Z31" s="8" t="n">
        <v>2552.09</v>
      </c>
      <c r="AA31" s="8" t="n">
        <v>2615.89</v>
      </c>
    </row>
    <row r="32">
      <c r="A32" s="4" t="inlineStr">
        <is>
          <t>SMART Annual ($)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</row>
    <row r="33">
      <c r="A33" s="4" t="inlineStr">
        <is>
          <t>ConnectedSolutions ($)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</row>
    <row r="34">
      <c r="A34" s="4" t="inlineStr">
        <is>
          <t>Total Incentive Annual ($)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</row>
    <row r="35">
      <c r="A35" s="11" t="inlineStr">
        <is>
          <t>Simple Payback (yr)</t>
        </is>
      </c>
      <c r="B35" s="14">
        <f>IF((C30+C31)&gt;0,B24/(C30+C31),"N/A")</f>
        <v/>
      </c>
      <c r="C35" s="8" t="n">
        <v>1446.26</v>
      </c>
      <c r="D35" s="8" t="n">
        <v>1482.42</v>
      </c>
      <c r="E35" s="8" t="n">
        <v>1519.48</v>
      </c>
      <c r="F35" s="8" t="n">
        <v>1557.46</v>
      </c>
      <c r="G35" s="8" t="n">
        <v>1596.4</v>
      </c>
      <c r="H35" s="8" t="n">
        <v>1636.31</v>
      </c>
      <c r="I35" s="8" t="n">
        <v>1677.22</v>
      </c>
      <c r="J35" s="8" t="n">
        <v>1719.15</v>
      </c>
      <c r="K35" s="8" t="n">
        <v>1762.13</v>
      </c>
      <c r="L35" s="8" t="n">
        <v>1806.18</v>
      </c>
      <c r="M35" s="8" t="n">
        <v>1851.34</v>
      </c>
      <c r="N35" s="8" t="n">
        <v>1897.62</v>
      </c>
      <c r="O35" s="8" t="n">
        <v>1945.06</v>
      </c>
      <c r="P35" s="8" t="n">
        <v>1993.69</v>
      </c>
      <c r="Q35" s="8" t="n">
        <v>2043.53</v>
      </c>
      <c r="R35" s="8" t="n">
        <v>2094.62</v>
      </c>
      <c r="S35" s="8" t="n">
        <v>2146.98</v>
      </c>
      <c r="T35" s="8" t="n">
        <v>2200.66</v>
      </c>
      <c r="U35" s="8" t="n">
        <v>2255.67</v>
      </c>
      <c r="V35" s="8" t="n">
        <v>2312.06</v>
      </c>
      <c r="W35" s="8" t="n">
        <v>2369.87</v>
      </c>
      <c r="X35" s="8" t="n">
        <v>2429.11</v>
      </c>
      <c r="Y35" s="8" t="n">
        <v>2489.84</v>
      </c>
      <c r="Z35" s="8" t="n">
        <v>2552.09</v>
      </c>
      <c r="AA35" s="8" t="n">
        <v>2615.89</v>
      </c>
    </row>
    <row r="36">
      <c r="A36" s="11" t="inlineStr">
        <is>
          <t>NPV Breakeven Year</t>
        </is>
      </c>
      <c r="B36" s="15" t="inlineStr">
        <is>
          <t>See Cumulative NPV row 34 for first year ≥ 0</t>
        </is>
      </c>
      <c r="C36" s="13" t="n">
        <v>-18.67</v>
      </c>
      <c r="D36" s="12" t="n">
        <v>17.49</v>
      </c>
      <c r="E36" s="12" t="n">
        <v>54.55</v>
      </c>
      <c r="F36" s="12" t="n">
        <v>92.54000000000001</v>
      </c>
      <c r="G36" s="12" t="n">
        <v>131.47</v>
      </c>
      <c r="H36" s="12" t="n">
        <v>171.38</v>
      </c>
      <c r="I36" s="12" t="n">
        <v>212.29</v>
      </c>
      <c r="J36" s="12" t="n">
        <v>254.22</v>
      </c>
      <c r="K36" s="12" t="n">
        <v>297.2</v>
      </c>
      <c r="L36" s="12" t="n">
        <v>341.25</v>
      </c>
      <c r="M36" s="12" t="n">
        <v>386.41</v>
      </c>
      <c r="N36" s="12" t="n">
        <v>432.69</v>
      </c>
      <c r="O36" s="12" t="n">
        <v>480.13</v>
      </c>
      <c r="P36" s="12" t="n">
        <v>528.76</v>
      </c>
      <c r="Q36" s="12" t="n">
        <v>578.6</v>
      </c>
      <c r="R36" s="12" t="n">
        <v>629.6900000000001</v>
      </c>
      <c r="S36" s="12" t="n">
        <v>682.0599999999999</v>
      </c>
      <c r="T36" s="12" t="n">
        <v>735.73</v>
      </c>
      <c r="U36" s="12" t="n">
        <v>790.75</v>
      </c>
      <c r="V36" s="12" t="n">
        <v>847.14</v>
      </c>
      <c r="W36" s="12" t="n">
        <v>904.9400000000001</v>
      </c>
      <c r="X36" s="12" t="n">
        <v>964.1900000000001</v>
      </c>
      <c r="Y36" s="12" t="n">
        <v>1024.91</v>
      </c>
      <c r="Z36" s="12" t="n">
        <v>1087.16</v>
      </c>
      <c r="AA36" s="12" t="n">
        <v>1150.96</v>
      </c>
    </row>
    <row r="37">
      <c r="A37" s="4" t="inlineStr">
        <is>
          <t>Discounted Net Savings ($)</t>
        </is>
      </c>
      <c r="B37" s="8" t="n">
        <v>0</v>
      </c>
      <c r="C37" s="8" t="n">
        <v>-17.54</v>
      </c>
      <c r="D37" s="8" t="n">
        <v>15.45</v>
      </c>
      <c r="E37" s="8" t="n">
        <v>45.29</v>
      </c>
      <c r="F37" s="8" t="n">
        <v>72.2</v>
      </c>
      <c r="G37" s="8" t="n">
        <v>96.41</v>
      </c>
      <c r="H37" s="8" t="n">
        <v>118.12</v>
      </c>
      <c r="I37" s="8" t="n">
        <v>137.51</v>
      </c>
      <c r="J37" s="8" t="n">
        <v>154.77</v>
      </c>
      <c r="K37" s="8" t="n">
        <v>170.05</v>
      </c>
      <c r="L37" s="8" t="n">
        <v>183.51</v>
      </c>
      <c r="M37" s="8" t="n">
        <v>195.29</v>
      </c>
      <c r="N37" s="8" t="n">
        <v>205.53</v>
      </c>
      <c r="O37" s="8" t="n">
        <v>214.35</v>
      </c>
      <c r="P37" s="8" t="n">
        <v>221.86</v>
      </c>
      <c r="Q37" s="8" t="n">
        <v>228.17</v>
      </c>
      <c r="R37" s="8" t="n">
        <v>233.38</v>
      </c>
      <c r="S37" s="8" t="n">
        <v>237.58</v>
      </c>
      <c r="T37" s="8" t="n">
        <v>240.86</v>
      </c>
      <c r="U37" s="8" t="n">
        <v>243.3</v>
      </c>
      <c r="V37" s="8" t="n">
        <v>244.97</v>
      </c>
      <c r="W37" s="8" t="n">
        <v>245.95</v>
      </c>
      <c r="X37" s="8" t="n">
        <v>246.29</v>
      </c>
      <c r="Y37" s="8" t="n">
        <v>246.05</v>
      </c>
      <c r="Z37" s="8" t="n">
        <v>245.3</v>
      </c>
      <c r="AA37" s="8" t="n">
        <v>244.07</v>
      </c>
    </row>
    <row r="38">
      <c r="A38" s="4" t="inlineStr">
        <is>
          <t>Cumulative NPV ($)</t>
        </is>
      </c>
      <c r="B38" s="8" t="n">
        <v>0</v>
      </c>
      <c r="C38" s="8" t="n">
        <v>-17.54</v>
      </c>
      <c r="D38" s="8" t="n">
        <v>-2.09</v>
      </c>
      <c r="E38" s="8" t="n">
        <v>43.19</v>
      </c>
      <c r="F38" s="8" t="n">
        <v>115.4</v>
      </c>
      <c r="G38" s="8" t="n">
        <v>211.81</v>
      </c>
      <c r="H38" s="8" t="n">
        <v>329.93</v>
      </c>
      <c r="I38" s="8" t="n">
        <v>467.44</v>
      </c>
      <c r="J38" s="8" t="n">
        <v>622.21</v>
      </c>
      <c r="K38" s="8" t="n">
        <v>792.26</v>
      </c>
      <c r="L38" s="8" t="n">
        <v>975.77</v>
      </c>
      <c r="M38" s="8" t="n">
        <v>1171.07</v>
      </c>
      <c r="N38" s="8" t="n">
        <v>1376.6</v>
      </c>
      <c r="O38" s="8" t="n">
        <v>1590.95</v>
      </c>
      <c r="P38" s="8" t="n">
        <v>1812.8</v>
      </c>
      <c r="Q38" s="8" t="n">
        <v>2040.97</v>
      </c>
      <c r="R38" s="8" t="n">
        <v>2274.35</v>
      </c>
      <c r="S38" s="8" t="n">
        <v>2511.93</v>
      </c>
      <c r="T38" s="8" t="n">
        <v>2752.79</v>
      </c>
      <c r="U38" s="8" t="n">
        <v>2996.1</v>
      </c>
      <c r="V38" s="8" t="n">
        <v>3241.07</v>
      </c>
      <c r="W38" s="8" t="n">
        <v>3487.02</v>
      </c>
      <c r="X38" s="8" t="n">
        <v>3733.31</v>
      </c>
      <c r="Y38" s="8" t="n">
        <v>3979.36</v>
      </c>
      <c r="Z38" s="8" t="n">
        <v>4224.66</v>
      </c>
      <c r="AA38" s="8" t="n">
        <v>4468.74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0" t="inlineStr">
        <is>
          <t>Eversource PVS — All Incentives</t>
        </is>
      </c>
    </row>
    <row r="2">
      <c r="A2" s="2" t="inlineStr">
        <is>
          <t>Debt: $35,297 | PMT: $3,095/yr | Bill Savings Y1: $1,431</t>
        </is>
      </c>
    </row>
    <row r="3">
      <c r="A3" s="11" t="inlineStr">
        <is>
          <t>Year</t>
        </is>
      </c>
      <c r="B3" s="11" t="n">
        <v>0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</row>
    <row r="4">
      <c r="A4" s="4" t="inlineStr">
        <is>
          <t>Debt Balance ($)</t>
        </is>
      </c>
      <c r="B4" s="8" t="n">
        <v>35296.8</v>
      </c>
      <c r="C4" s="8" t="n">
        <v>34757.68</v>
      </c>
      <c r="D4" s="8" t="n">
        <v>34179.53</v>
      </c>
      <c r="E4" s="8" t="n">
        <v>33559.52</v>
      </c>
      <c r="F4" s="8" t="n">
        <v>32894.62</v>
      </c>
      <c r="G4" s="8" t="n">
        <v>32181.58</v>
      </c>
      <c r="H4" s="8" t="n">
        <v>31416.92</v>
      </c>
      <c r="I4" s="8" t="n">
        <v>30596.89</v>
      </c>
      <c r="J4" s="8" t="n">
        <v>29717.5</v>
      </c>
      <c r="K4" s="8" t="n">
        <v>28774.44</v>
      </c>
      <c r="L4" s="8" t="n">
        <v>27763.1</v>
      </c>
      <c r="M4" s="8" t="n">
        <v>26678.54</v>
      </c>
      <c r="N4" s="8" t="n">
        <v>25515.46</v>
      </c>
      <c r="O4" s="8" t="n">
        <v>24268.17</v>
      </c>
      <c r="P4" s="8" t="n">
        <v>22930.57</v>
      </c>
      <c r="Q4" s="8" t="n">
        <v>21496.14</v>
      </c>
      <c r="R4" s="8" t="n">
        <v>19957.85</v>
      </c>
      <c r="S4" s="8" t="n">
        <v>18308.19</v>
      </c>
      <c r="T4" s="8" t="n">
        <v>16539.1</v>
      </c>
      <c r="U4" s="8" t="n">
        <v>14641.92</v>
      </c>
      <c r="V4" s="8" t="n">
        <v>12607.38</v>
      </c>
      <c r="W4" s="8" t="n">
        <v>10425.55</v>
      </c>
      <c r="X4" s="8" t="n">
        <v>8085.75</v>
      </c>
      <c r="Y4" s="8" t="n">
        <v>5576.55</v>
      </c>
      <c r="Z4" s="8" t="n">
        <v>2885.68</v>
      </c>
      <c r="AA4" s="8" t="n">
        <v>0</v>
      </c>
    </row>
    <row r="5">
      <c r="A5" s="4" t="inlineStr">
        <is>
          <t>Interest Payment ($)</t>
        </is>
      </c>
      <c r="B5" s="8" t="n">
        <v>0</v>
      </c>
      <c r="C5" s="8" t="n">
        <v>2555.49</v>
      </c>
      <c r="D5" s="8" t="n">
        <v>2516.46</v>
      </c>
      <c r="E5" s="8" t="n">
        <v>2474.6</v>
      </c>
      <c r="F5" s="8" t="n">
        <v>2429.71</v>
      </c>
      <c r="G5" s="8" t="n">
        <v>2381.57</v>
      </c>
      <c r="H5" s="8" t="n">
        <v>2329.95</v>
      </c>
      <c r="I5" s="8" t="n">
        <v>2274.58</v>
      </c>
      <c r="J5" s="8" t="n">
        <v>2215.22</v>
      </c>
      <c r="K5" s="8" t="n">
        <v>2151.55</v>
      </c>
      <c r="L5" s="8" t="n">
        <v>2083.27</v>
      </c>
      <c r="M5" s="8" t="n">
        <v>2010.05</v>
      </c>
      <c r="N5" s="8" t="n">
        <v>1931.53</v>
      </c>
      <c r="O5" s="8" t="n">
        <v>1847.32</v>
      </c>
      <c r="P5" s="8" t="n">
        <v>1757.02</v>
      </c>
      <c r="Q5" s="8" t="n">
        <v>1660.17</v>
      </c>
      <c r="R5" s="8" t="n">
        <v>1556.32</v>
      </c>
      <c r="S5" s="8" t="n">
        <v>1444.95</v>
      </c>
      <c r="T5" s="8" t="n">
        <v>1325.51</v>
      </c>
      <c r="U5" s="8" t="n">
        <v>1197.43</v>
      </c>
      <c r="V5" s="8" t="n">
        <v>1060.07</v>
      </c>
      <c r="W5" s="8" t="n">
        <v>912.77</v>
      </c>
      <c r="X5" s="8" t="n">
        <v>754.8099999999999</v>
      </c>
      <c r="Y5" s="8" t="n">
        <v>585.41</v>
      </c>
      <c r="Z5" s="8" t="n">
        <v>403.74</v>
      </c>
      <c r="AA5" s="8" t="n">
        <v>208.92</v>
      </c>
    </row>
    <row r="6">
      <c r="A6" s="4" t="inlineStr">
        <is>
          <t>Principal Payment ($)</t>
        </is>
      </c>
      <c r="B6" s="8" t="n">
        <v>0</v>
      </c>
      <c r="C6" s="8" t="n">
        <v>539.12</v>
      </c>
      <c r="D6" s="8" t="n">
        <v>578.15</v>
      </c>
      <c r="E6" s="8" t="n">
        <v>620.01</v>
      </c>
      <c r="F6" s="8" t="n">
        <v>664.9</v>
      </c>
      <c r="G6" s="8" t="n">
        <v>713.04</v>
      </c>
      <c r="H6" s="8" t="n">
        <v>764.66</v>
      </c>
      <c r="I6" s="8" t="n">
        <v>820.02</v>
      </c>
      <c r="J6" s="8" t="n">
        <v>879.39</v>
      </c>
      <c r="K6" s="8" t="n">
        <v>943.0599999999999</v>
      </c>
      <c r="L6" s="8" t="n">
        <v>1011.34</v>
      </c>
      <c r="M6" s="8" t="n">
        <v>1084.56</v>
      </c>
      <c r="N6" s="8" t="n">
        <v>1163.08</v>
      </c>
      <c r="O6" s="8" t="n">
        <v>1247.29</v>
      </c>
      <c r="P6" s="8" t="n">
        <v>1337.59</v>
      </c>
      <c r="Q6" s="8" t="n">
        <v>1434.43</v>
      </c>
      <c r="R6" s="8" t="n">
        <v>1538.29</v>
      </c>
      <c r="S6" s="8" t="n">
        <v>1649.66</v>
      </c>
      <c r="T6" s="8" t="n">
        <v>1769.1</v>
      </c>
      <c r="U6" s="8" t="n">
        <v>1897.18</v>
      </c>
      <c r="V6" s="8" t="n">
        <v>2034.53</v>
      </c>
      <c r="W6" s="8" t="n">
        <v>2181.83</v>
      </c>
      <c r="X6" s="8" t="n">
        <v>2339.8</v>
      </c>
      <c r="Y6" s="8" t="n">
        <v>2509.2</v>
      </c>
      <c r="Z6" s="8" t="n">
        <v>2690.87</v>
      </c>
      <c r="AA6" s="8" t="n">
        <v>2885.68</v>
      </c>
    </row>
    <row r="7">
      <c r="A7" s="4" t="inlineStr">
        <is>
          <t>Total P&amp;I Payment ($)</t>
        </is>
      </c>
      <c r="B7" s="8" t="n">
        <v>0</v>
      </c>
      <c r="C7" s="8" t="n">
        <v>3094.61</v>
      </c>
      <c r="D7" s="8" t="n">
        <v>3094.61</v>
      </c>
      <c r="E7" s="8" t="n">
        <v>3094.61</v>
      </c>
      <c r="F7" s="8" t="n">
        <v>3094.61</v>
      </c>
      <c r="G7" s="8" t="n">
        <v>3094.61</v>
      </c>
      <c r="H7" s="8" t="n">
        <v>3094.61</v>
      </c>
      <c r="I7" s="8" t="n">
        <v>3094.61</v>
      </c>
      <c r="J7" s="8" t="n">
        <v>3094.61</v>
      </c>
      <c r="K7" s="8" t="n">
        <v>3094.61</v>
      </c>
      <c r="L7" s="8" t="n">
        <v>3094.61</v>
      </c>
      <c r="M7" s="8" t="n">
        <v>3094.61</v>
      </c>
      <c r="N7" s="8" t="n">
        <v>3094.61</v>
      </c>
      <c r="O7" s="8" t="n">
        <v>3094.61</v>
      </c>
      <c r="P7" s="8" t="n">
        <v>3094.61</v>
      </c>
      <c r="Q7" s="8" t="n">
        <v>3094.61</v>
      </c>
      <c r="R7" s="8" t="n">
        <v>3094.61</v>
      </c>
      <c r="S7" s="8" t="n">
        <v>3094.61</v>
      </c>
      <c r="T7" s="8" t="n">
        <v>3094.61</v>
      </c>
      <c r="U7" s="8" t="n">
        <v>3094.61</v>
      </c>
      <c r="V7" s="8" t="n">
        <v>3094.61</v>
      </c>
      <c r="W7" s="8" t="n">
        <v>3094.61</v>
      </c>
      <c r="X7" s="8" t="n">
        <v>3094.61</v>
      </c>
      <c r="Y7" s="8" t="n">
        <v>3094.61</v>
      </c>
      <c r="Z7" s="8" t="n">
        <v>3094.61</v>
      </c>
      <c r="AA7" s="8" t="n">
        <v>3094.61</v>
      </c>
    </row>
    <row r="8">
      <c r="A8" s="4" t="inlineStr">
        <is>
          <t>Bill w/o System ($)</t>
        </is>
      </c>
      <c r="B8" s="8" t="n">
        <v>0</v>
      </c>
      <c r="C8" s="8" t="n">
        <v>2295.06</v>
      </c>
      <c r="D8" s="8" t="n">
        <v>2352.44</v>
      </c>
      <c r="E8" s="8" t="n">
        <v>2411.25</v>
      </c>
      <c r="F8" s="8" t="n">
        <v>2471.53</v>
      </c>
      <c r="G8" s="8" t="n">
        <v>2533.32</v>
      </c>
      <c r="H8" s="8" t="n">
        <v>2596.65</v>
      </c>
      <c r="I8" s="8" t="n">
        <v>2661.57</v>
      </c>
      <c r="J8" s="8" t="n">
        <v>2728.11</v>
      </c>
      <c r="K8" s="8" t="n">
        <v>2796.31</v>
      </c>
      <c r="L8" s="8" t="n">
        <v>2866.22</v>
      </c>
      <c r="M8" s="8" t="n">
        <v>2937.87</v>
      </c>
      <c r="N8" s="8" t="n">
        <v>3011.32</v>
      </c>
      <c r="O8" s="8" t="n">
        <v>3086.6</v>
      </c>
      <c r="P8" s="8" t="n">
        <v>3163.77</v>
      </c>
      <c r="Q8" s="8" t="n">
        <v>3242.86</v>
      </c>
      <c r="R8" s="8" t="n">
        <v>3323.93</v>
      </c>
      <c r="S8" s="8" t="n">
        <v>3407.03</v>
      </c>
      <c r="T8" s="8" t="n">
        <v>3492.21</v>
      </c>
      <c r="U8" s="8" t="n">
        <v>3579.51</v>
      </c>
      <c r="V8" s="8" t="n">
        <v>3669</v>
      </c>
      <c r="W8" s="8" t="n">
        <v>3760.72</v>
      </c>
      <c r="X8" s="8" t="n">
        <v>3854.74</v>
      </c>
      <c r="Y8" s="8" t="n">
        <v>3951.11</v>
      </c>
      <c r="Z8" s="8" t="n">
        <v>4049.89</v>
      </c>
      <c r="AA8" s="8" t="n">
        <v>4151.13</v>
      </c>
    </row>
    <row r="9">
      <c r="A9" s="4" t="inlineStr">
        <is>
          <t>Bill w/ System ($)</t>
        </is>
      </c>
      <c r="B9" s="8" t="n">
        <v>0</v>
      </c>
      <c r="C9" s="8" t="n">
        <v>864.3</v>
      </c>
      <c r="D9" s="8" t="n">
        <v>885.91</v>
      </c>
      <c r="E9" s="8" t="n">
        <v>908.0599999999999</v>
      </c>
      <c r="F9" s="8" t="n">
        <v>930.76</v>
      </c>
      <c r="G9" s="8" t="n">
        <v>954.03</v>
      </c>
      <c r="H9" s="8" t="n">
        <v>977.88</v>
      </c>
      <c r="I9" s="8" t="n">
        <v>1002.32</v>
      </c>
      <c r="J9" s="8" t="n">
        <v>1027.38</v>
      </c>
      <c r="K9" s="8" t="n">
        <v>1053.07</v>
      </c>
      <c r="L9" s="8" t="n">
        <v>1079.39</v>
      </c>
      <c r="M9" s="8" t="n">
        <v>1106.38</v>
      </c>
      <c r="N9" s="8" t="n">
        <v>1134.04</v>
      </c>
      <c r="O9" s="8" t="n">
        <v>1162.39</v>
      </c>
      <c r="P9" s="8" t="n">
        <v>1191.45</v>
      </c>
      <c r="Q9" s="8" t="n">
        <v>1221.23</v>
      </c>
      <c r="R9" s="8" t="n">
        <v>1251.76</v>
      </c>
      <c r="S9" s="8" t="n">
        <v>1283.06</v>
      </c>
      <c r="T9" s="8" t="n">
        <v>1315.13</v>
      </c>
      <c r="U9" s="8" t="n">
        <v>1348.01</v>
      </c>
      <c r="V9" s="8" t="n">
        <v>1381.71</v>
      </c>
      <c r="W9" s="8" t="n">
        <v>1416.26</v>
      </c>
      <c r="X9" s="8" t="n">
        <v>1451.66</v>
      </c>
      <c r="Y9" s="8" t="n">
        <v>1487.95</v>
      </c>
      <c r="Z9" s="8" t="n">
        <v>1525.15</v>
      </c>
      <c r="AA9" s="8" t="n">
        <v>1563.28</v>
      </c>
    </row>
    <row r="10">
      <c r="A10" s="4" t="inlineStr">
        <is>
          <t>Bill Savings ($)</t>
        </is>
      </c>
      <c r="B10" s="8" t="n">
        <v>0</v>
      </c>
      <c r="C10" s="8" t="n">
        <v>1430.76</v>
      </c>
      <c r="D10" s="8" t="n">
        <v>1430.76</v>
      </c>
      <c r="E10" s="8" t="n">
        <v>1430.76</v>
      </c>
      <c r="F10" s="8" t="n">
        <v>1430.76</v>
      </c>
      <c r="G10" s="8" t="n">
        <v>1430.76</v>
      </c>
      <c r="H10" s="8" t="n">
        <v>1430.76</v>
      </c>
      <c r="I10" s="8" t="n">
        <v>1430.76</v>
      </c>
      <c r="J10" s="8" t="n">
        <v>1430.76</v>
      </c>
      <c r="K10" s="8" t="n">
        <v>1430.76</v>
      </c>
      <c r="L10" s="8" t="n">
        <v>1430.76</v>
      </c>
      <c r="M10" s="8" t="n">
        <v>1430.76</v>
      </c>
      <c r="N10" s="8" t="n">
        <v>1430.76</v>
      </c>
      <c r="O10" s="8" t="n">
        <v>1430.76</v>
      </c>
      <c r="P10" s="8" t="n">
        <v>1430.76</v>
      </c>
      <c r="Q10" s="8" t="n">
        <v>1430.76</v>
      </c>
      <c r="R10" s="8" t="n">
        <v>1430.76</v>
      </c>
      <c r="S10" s="8" t="n">
        <v>1430.76</v>
      </c>
      <c r="T10" s="8" t="n">
        <v>1430.76</v>
      </c>
      <c r="U10" s="8" t="n">
        <v>1430.76</v>
      </c>
      <c r="V10" s="8" t="n">
        <v>1430.76</v>
      </c>
      <c r="W10" s="8" t="n">
        <v>1430.76</v>
      </c>
      <c r="X10" s="8" t="n">
        <v>1430.76</v>
      </c>
      <c r="Y10" s="8" t="n">
        <v>1430.76</v>
      </c>
      <c r="Z10" s="8" t="n">
        <v>1430.76</v>
      </c>
      <c r="AA10" s="8" t="n">
        <v>1430.76</v>
      </c>
    </row>
    <row r="11">
      <c r="A11" s="4" t="inlineStr">
        <is>
          <t>Escalated Bill Savings ($)</t>
        </is>
      </c>
      <c r="B11" s="8" t="n">
        <v>0</v>
      </c>
      <c r="C11" s="8" t="n">
        <v>1430.76</v>
      </c>
      <c r="D11" s="8" t="n">
        <v>1466.53</v>
      </c>
      <c r="E11" s="8" t="n">
        <v>1503.19</v>
      </c>
      <c r="F11" s="8" t="n">
        <v>1540.77</v>
      </c>
      <c r="G11" s="8" t="n">
        <v>1579.29</v>
      </c>
      <c r="H11" s="8" t="n">
        <v>1618.77</v>
      </c>
      <c r="I11" s="8" t="n">
        <v>1659.24</v>
      </c>
      <c r="J11" s="8" t="n">
        <v>1700.72</v>
      </c>
      <c r="K11" s="8" t="n">
        <v>1743.24</v>
      </c>
      <c r="L11" s="8" t="n">
        <v>1786.82</v>
      </c>
      <c r="M11" s="8" t="n">
        <v>1831.49</v>
      </c>
      <c r="N11" s="8" t="n">
        <v>1877.28</v>
      </c>
      <c r="O11" s="8" t="n">
        <v>1924.21</v>
      </c>
      <c r="P11" s="8" t="n">
        <v>1972.32</v>
      </c>
      <c r="Q11" s="8" t="n">
        <v>2021.63</v>
      </c>
      <c r="R11" s="8" t="n">
        <v>2072.17</v>
      </c>
      <c r="S11" s="8" t="n">
        <v>2123.97</v>
      </c>
      <c r="T11" s="8" t="n">
        <v>2177.07</v>
      </c>
      <c r="U11" s="8" t="n">
        <v>2231.5</v>
      </c>
      <c r="V11" s="8" t="n">
        <v>2287.28</v>
      </c>
      <c r="W11" s="8" t="n">
        <v>2344.47</v>
      </c>
      <c r="X11" s="8" t="n">
        <v>2403.08</v>
      </c>
      <c r="Y11" s="8" t="n">
        <v>2463.16</v>
      </c>
      <c r="Z11" s="8" t="n">
        <v>2524.73</v>
      </c>
      <c r="AA11" s="8" t="n">
        <v>2587.85</v>
      </c>
    </row>
    <row r="12">
      <c r="A12" s="4" t="inlineStr">
        <is>
          <t>SMART Annual ($)</t>
        </is>
      </c>
      <c r="B12" s="8" t="n">
        <v>0</v>
      </c>
      <c r="C12" s="8" t="n">
        <v>579.4</v>
      </c>
      <c r="D12" s="8" t="n">
        <v>579.4</v>
      </c>
      <c r="E12" s="8" t="n">
        <v>579.4</v>
      </c>
      <c r="F12" s="8" t="n">
        <v>579.4</v>
      </c>
      <c r="G12" s="8" t="n">
        <v>579.4</v>
      </c>
      <c r="H12" s="8" t="n">
        <v>579.4</v>
      </c>
      <c r="I12" s="8" t="n">
        <v>579.4</v>
      </c>
      <c r="J12" s="8" t="n">
        <v>579.4</v>
      </c>
      <c r="K12" s="8" t="n">
        <v>579.4</v>
      </c>
      <c r="L12" s="8" t="n">
        <v>579.4</v>
      </c>
      <c r="M12" s="8" t="n">
        <v>579.4</v>
      </c>
      <c r="N12" s="8" t="n">
        <v>579.4</v>
      </c>
      <c r="O12" s="8" t="n">
        <v>579.4</v>
      </c>
      <c r="P12" s="8" t="n">
        <v>579.4</v>
      </c>
      <c r="Q12" s="8" t="n">
        <v>579.4</v>
      </c>
      <c r="R12" s="8" t="n">
        <v>579.4</v>
      </c>
      <c r="S12" s="8" t="n">
        <v>579.4</v>
      </c>
      <c r="T12" s="8" t="n">
        <v>579.4</v>
      </c>
      <c r="U12" s="8" t="n">
        <v>579.4</v>
      </c>
      <c r="V12" s="8" t="n">
        <v>579.4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</row>
    <row r="13">
      <c r="A13" s="4" t="inlineStr">
        <is>
          <t>ConnectedSolutions ($)</t>
        </is>
      </c>
      <c r="B13" s="8" t="n">
        <v>0</v>
      </c>
      <c r="C13" s="8" t="n">
        <v>1375</v>
      </c>
      <c r="D13" s="8" t="n">
        <v>1375</v>
      </c>
      <c r="E13" s="8" t="n">
        <v>1375</v>
      </c>
      <c r="F13" s="8" t="n">
        <v>1375</v>
      </c>
      <c r="G13" s="8" t="n">
        <v>1375</v>
      </c>
      <c r="H13" s="8" t="n">
        <v>1375</v>
      </c>
      <c r="I13" s="8" t="n">
        <v>1375</v>
      </c>
      <c r="J13" s="8" t="n">
        <v>1375</v>
      </c>
      <c r="K13" s="8" t="n">
        <v>1375</v>
      </c>
      <c r="L13" s="8" t="n">
        <v>1375</v>
      </c>
      <c r="M13" s="8" t="n">
        <v>1375</v>
      </c>
      <c r="N13" s="8" t="n">
        <v>1375</v>
      </c>
      <c r="O13" s="8" t="n">
        <v>1375</v>
      </c>
      <c r="P13" s="8" t="n">
        <v>1375</v>
      </c>
      <c r="Q13" s="8" t="n">
        <v>1375</v>
      </c>
      <c r="R13" s="8" t="n">
        <v>1375</v>
      </c>
      <c r="S13" s="8" t="n">
        <v>1375</v>
      </c>
      <c r="T13" s="8" t="n">
        <v>1375</v>
      </c>
      <c r="U13" s="8" t="n">
        <v>1375</v>
      </c>
      <c r="V13" s="8" t="n">
        <v>1375</v>
      </c>
      <c r="W13" s="8" t="n">
        <v>1375</v>
      </c>
      <c r="X13" s="8" t="n">
        <v>1375</v>
      </c>
      <c r="Y13" s="8" t="n">
        <v>1375</v>
      </c>
      <c r="Z13" s="8" t="n">
        <v>1375</v>
      </c>
      <c r="AA13" s="8" t="n">
        <v>1375</v>
      </c>
    </row>
    <row r="14">
      <c r="A14" s="4" t="inlineStr">
        <is>
          <t>Total Incentive Annual ($)</t>
        </is>
      </c>
      <c r="B14" s="8" t="n">
        <v>0</v>
      </c>
      <c r="C14" s="8" t="n">
        <v>1954.4</v>
      </c>
      <c r="D14" s="8" t="n">
        <v>1954.4</v>
      </c>
      <c r="E14" s="8" t="n">
        <v>1954.4</v>
      </c>
      <c r="F14" s="8" t="n">
        <v>1954.4</v>
      </c>
      <c r="G14" s="8" t="n">
        <v>1954.4</v>
      </c>
      <c r="H14" s="8" t="n">
        <v>1954.4</v>
      </c>
      <c r="I14" s="8" t="n">
        <v>1954.4</v>
      </c>
      <c r="J14" s="8" t="n">
        <v>1954.4</v>
      </c>
      <c r="K14" s="8" t="n">
        <v>1954.4</v>
      </c>
      <c r="L14" s="8" t="n">
        <v>1954.4</v>
      </c>
      <c r="M14" s="8" t="n">
        <v>1954.4</v>
      </c>
      <c r="N14" s="8" t="n">
        <v>1954.4</v>
      </c>
      <c r="O14" s="8" t="n">
        <v>1954.4</v>
      </c>
      <c r="P14" s="8" t="n">
        <v>1954.4</v>
      </c>
      <c r="Q14" s="8" t="n">
        <v>1954.4</v>
      </c>
      <c r="R14" s="8" t="n">
        <v>1954.4</v>
      </c>
      <c r="S14" s="8" t="n">
        <v>1954.4</v>
      </c>
      <c r="T14" s="8" t="n">
        <v>1954.4</v>
      </c>
      <c r="U14" s="8" t="n">
        <v>1954.4</v>
      </c>
      <c r="V14" s="8" t="n">
        <v>1954.4</v>
      </c>
      <c r="W14" s="8" t="n">
        <v>1375</v>
      </c>
      <c r="X14" s="8" t="n">
        <v>1375</v>
      </c>
      <c r="Y14" s="8" t="n">
        <v>1375</v>
      </c>
      <c r="Z14" s="8" t="n">
        <v>1375</v>
      </c>
      <c r="AA14" s="8" t="n">
        <v>1375</v>
      </c>
    </row>
    <row r="15">
      <c r="A15" s="11" t="inlineStr">
        <is>
          <t>Simple Payback (yr)</t>
        </is>
      </c>
      <c r="B15" s="14">
        <f>IF((C10+C11)&gt;0,B4/(C10+C11),"N/A")</f>
        <v/>
      </c>
      <c r="C15" s="8" t="n">
        <v>3385.16</v>
      </c>
      <c r="D15" s="8" t="n">
        <v>3420.93</v>
      </c>
      <c r="E15" s="8" t="n">
        <v>3457.59</v>
      </c>
      <c r="F15" s="8" t="n">
        <v>3495.17</v>
      </c>
      <c r="G15" s="8" t="n">
        <v>3533.69</v>
      </c>
      <c r="H15" s="8" t="n">
        <v>3573.17</v>
      </c>
      <c r="I15" s="8" t="n">
        <v>3613.64</v>
      </c>
      <c r="J15" s="8" t="n">
        <v>3655.12</v>
      </c>
      <c r="K15" s="8" t="n">
        <v>3697.64</v>
      </c>
      <c r="L15" s="8" t="n">
        <v>3741.22</v>
      </c>
      <c r="M15" s="8" t="n">
        <v>3785.89</v>
      </c>
      <c r="N15" s="8" t="n">
        <v>3831.68</v>
      </c>
      <c r="O15" s="8" t="n">
        <v>3878.61</v>
      </c>
      <c r="P15" s="8" t="n">
        <v>3926.72</v>
      </c>
      <c r="Q15" s="8" t="n">
        <v>3976.03</v>
      </c>
      <c r="R15" s="8" t="n">
        <v>4026.57</v>
      </c>
      <c r="S15" s="8" t="n">
        <v>4078.37</v>
      </c>
      <c r="T15" s="8" t="n">
        <v>4131.47</v>
      </c>
      <c r="U15" s="8" t="n">
        <v>4185.9</v>
      </c>
      <c r="V15" s="8" t="n">
        <v>4241.68</v>
      </c>
      <c r="W15" s="8" t="n">
        <v>3719.47</v>
      </c>
      <c r="X15" s="8" t="n">
        <v>3778.08</v>
      </c>
      <c r="Y15" s="8" t="n">
        <v>3838.16</v>
      </c>
      <c r="Z15" s="8" t="n">
        <v>3899.73</v>
      </c>
      <c r="AA15" s="8" t="n">
        <v>3962.85</v>
      </c>
    </row>
    <row r="16">
      <c r="A16" s="11" t="inlineStr">
        <is>
          <t>NPV Breakeven Year</t>
        </is>
      </c>
      <c r="B16" s="15" t="inlineStr">
        <is>
          <t>See Cumulative NPV row 14 for first year ≥ 0</t>
        </is>
      </c>
      <c r="C16" s="12" t="n">
        <v>290.55</v>
      </c>
      <c r="D16" s="12" t="n">
        <v>326.32</v>
      </c>
      <c r="E16" s="12" t="n">
        <v>362.98</v>
      </c>
      <c r="F16" s="12" t="n">
        <v>400.56</v>
      </c>
      <c r="G16" s="12" t="n">
        <v>439.08</v>
      </c>
      <c r="H16" s="12" t="n">
        <v>478.57</v>
      </c>
      <c r="I16" s="12" t="n">
        <v>519.03</v>
      </c>
      <c r="J16" s="12" t="n">
        <v>560.52</v>
      </c>
      <c r="K16" s="12" t="n">
        <v>603.03</v>
      </c>
      <c r="L16" s="12" t="n">
        <v>646.61</v>
      </c>
      <c r="M16" s="12" t="n">
        <v>691.29</v>
      </c>
      <c r="N16" s="12" t="n">
        <v>737.0700000000001</v>
      </c>
      <c r="O16" s="12" t="n">
        <v>784</v>
      </c>
      <c r="P16" s="12" t="n">
        <v>832.11</v>
      </c>
      <c r="Q16" s="12" t="n">
        <v>881.42</v>
      </c>
      <c r="R16" s="12" t="n">
        <v>931.96</v>
      </c>
      <c r="S16" s="12" t="n">
        <v>983.76</v>
      </c>
      <c r="T16" s="12" t="n">
        <v>1036.86</v>
      </c>
      <c r="U16" s="12" t="n">
        <v>1091.29</v>
      </c>
      <c r="V16" s="12" t="n">
        <v>1147.08</v>
      </c>
      <c r="W16" s="12" t="n">
        <v>624.86</v>
      </c>
      <c r="X16" s="12" t="n">
        <v>683.47</v>
      </c>
      <c r="Y16" s="12" t="n">
        <v>743.55</v>
      </c>
      <c r="Z16" s="12" t="n">
        <v>805.13</v>
      </c>
      <c r="AA16" s="12" t="n">
        <v>868.24</v>
      </c>
    </row>
    <row r="17">
      <c r="A17" s="4" t="inlineStr">
        <is>
          <t>Discounted Net Savings ($)</t>
        </is>
      </c>
      <c r="B17" s="8" t="n">
        <v>0</v>
      </c>
      <c r="C17" s="8" t="n">
        <v>273.07</v>
      </c>
      <c r="D17" s="8" t="n">
        <v>288.24</v>
      </c>
      <c r="E17" s="8" t="n">
        <v>301.34</v>
      </c>
      <c r="F17" s="8" t="n">
        <v>312.54</v>
      </c>
      <c r="G17" s="8" t="n">
        <v>321.99</v>
      </c>
      <c r="H17" s="8" t="n">
        <v>329.83</v>
      </c>
      <c r="I17" s="8" t="n">
        <v>336.21</v>
      </c>
      <c r="J17" s="8" t="n">
        <v>341.24</v>
      </c>
      <c r="K17" s="8" t="n">
        <v>345.04</v>
      </c>
      <c r="L17" s="8" t="n">
        <v>347.72</v>
      </c>
      <c r="M17" s="8" t="n">
        <v>349.38</v>
      </c>
      <c r="N17" s="8" t="n">
        <v>350.12</v>
      </c>
      <c r="O17" s="8" t="n">
        <v>350.01</v>
      </c>
      <c r="P17" s="8" t="n">
        <v>349.14</v>
      </c>
      <c r="Q17" s="8" t="n">
        <v>347.58</v>
      </c>
      <c r="R17" s="8" t="n">
        <v>345.41</v>
      </c>
      <c r="S17" s="8" t="n">
        <v>342.68</v>
      </c>
      <c r="T17" s="8" t="n">
        <v>339.45</v>
      </c>
      <c r="U17" s="8" t="n">
        <v>335.78</v>
      </c>
      <c r="V17" s="8" t="n">
        <v>331.71</v>
      </c>
      <c r="W17" s="8" t="n">
        <v>169.83</v>
      </c>
      <c r="X17" s="8" t="n">
        <v>174.58</v>
      </c>
      <c r="Y17" s="8" t="n">
        <v>178.51</v>
      </c>
      <c r="Z17" s="8" t="n">
        <v>181.66</v>
      </c>
      <c r="AA17" s="8" t="n">
        <v>184.12</v>
      </c>
    </row>
    <row r="18">
      <c r="A18" s="4" t="inlineStr">
        <is>
          <t>Cumulative NPV ($)</t>
        </is>
      </c>
      <c r="B18" s="8" t="n">
        <v>0</v>
      </c>
      <c r="C18" s="8" t="n">
        <v>273.07</v>
      </c>
      <c r="D18" s="8" t="n">
        <v>561.3200000000001</v>
      </c>
      <c r="E18" s="8" t="n">
        <v>862.66</v>
      </c>
      <c r="F18" s="8" t="n">
        <v>1175.2</v>
      </c>
      <c r="G18" s="8" t="n">
        <v>1497.19</v>
      </c>
      <c r="H18" s="8" t="n">
        <v>1827.02</v>
      </c>
      <c r="I18" s="8" t="n">
        <v>2163.23</v>
      </c>
      <c r="J18" s="8" t="n">
        <v>2504.46</v>
      </c>
      <c r="K18" s="8" t="n">
        <v>2849.5</v>
      </c>
      <c r="L18" s="8" t="n">
        <v>3197.22</v>
      </c>
      <c r="M18" s="8" t="n">
        <v>3546.6</v>
      </c>
      <c r="N18" s="8" t="n">
        <v>3896.72</v>
      </c>
      <c r="O18" s="8" t="n">
        <v>4246.72</v>
      </c>
      <c r="P18" s="8" t="n">
        <v>4595.86</v>
      </c>
      <c r="Q18" s="8" t="n">
        <v>4943.44</v>
      </c>
      <c r="R18" s="8" t="n">
        <v>5288.85</v>
      </c>
      <c r="S18" s="8" t="n">
        <v>5631.53</v>
      </c>
      <c r="T18" s="8" t="n">
        <v>5970.97</v>
      </c>
      <c r="U18" s="8" t="n">
        <v>6306.75</v>
      </c>
      <c r="V18" s="8" t="n">
        <v>6638.46</v>
      </c>
      <c r="W18" s="8" t="n">
        <v>6808.29</v>
      </c>
      <c r="X18" s="8" t="n">
        <v>6982.87</v>
      </c>
      <c r="Y18" s="8" t="n">
        <v>7161.37</v>
      </c>
      <c r="Z18" s="8" t="n">
        <v>7343.04</v>
      </c>
      <c r="AA18" s="8" t="n">
        <v>7527.16</v>
      </c>
    </row>
    <row r="19"/>
    <row r="20"/>
    <row r="21">
      <c r="A21" s="10" t="inlineStr">
        <is>
          <t>Eversource PVS — State+SMART</t>
        </is>
      </c>
    </row>
    <row r="22">
      <c r="A22" s="2" t="inlineStr">
        <is>
          <t>Debt: $35,797 | PMT: $3,138/yr | Bill Savings Y1: $1,431</t>
        </is>
      </c>
    </row>
    <row r="23">
      <c r="A23" s="11" t="inlineStr">
        <is>
          <t>Year</t>
        </is>
      </c>
      <c r="B23" s="11" t="n">
        <v>0</v>
      </c>
      <c r="C23" s="11" t="n">
        <v>1</v>
      </c>
      <c r="D23" s="11" t="n">
        <v>2</v>
      </c>
      <c r="E23" s="11" t="n">
        <v>3</v>
      </c>
      <c r="F23" s="11" t="n">
        <v>4</v>
      </c>
      <c r="G23" s="11" t="n">
        <v>5</v>
      </c>
      <c r="H23" s="11" t="n">
        <v>6</v>
      </c>
      <c r="I23" s="11" t="n">
        <v>7</v>
      </c>
      <c r="J23" s="11" t="n">
        <v>8</v>
      </c>
      <c r="K23" s="11" t="n">
        <v>9</v>
      </c>
      <c r="L23" s="11" t="n">
        <v>10</v>
      </c>
      <c r="M23" s="11" t="n">
        <v>11</v>
      </c>
      <c r="N23" s="11" t="n">
        <v>12</v>
      </c>
      <c r="O23" s="11" t="n">
        <v>13</v>
      </c>
      <c r="P23" s="11" t="n">
        <v>14</v>
      </c>
      <c r="Q23" s="11" t="n">
        <v>15</v>
      </c>
      <c r="R23" s="11" t="n">
        <v>16</v>
      </c>
      <c r="S23" s="11" t="n">
        <v>17</v>
      </c>
      <c r="T23" s="11" t="n">
        <v>18</v>
      </c>
      <c r="U23" s="11" t="n">
        <v>19</v>
      </c>
      <c r="V23" s="11" t="n">
        <v>20</v>
      </c>
      <c r="W23" s="11" t="n">
        <v>21</v>
      </c>
      <c r="X23" s="11" t="n">
        <v>22</v>
      </c>
      <c r="Y23" s="11" t="n">
        <v>23</v>
      </c>
      <c r="Z23" s="11" t="n">
        <v>24</v>
      </c>
      <c r="AA23" s="11" t="n">
        <v>25</v>
      </c>
    </row>
    <row r="24">
      <c r="A24" s="4" t="inlineStr">
        <is>
          <t>Debt Balance ($)</t>
        </is>
      </c>
      <c r="B24" s="8" t="n">
        <v>35796.8</v>
      </c>
      <c r="C24" s="8" t="n">
        <v>35250.04</v>
      </c>
      <c r="D24" s="8" t="n">
        <v>34663.7</v>
      </c>
      <c r="E24" s="8" t="n">
        <v>34034.91</v>
      </c>
      <c r="F24" s="8" t="n">
        <v>33360.59</v>
      </c>
      <c r="G24" s="8" t="n">
        <v>32637.45</v>
      </c>
      <c r="H24" s="8" t="n">
        <v>31861.96</v>
      </c>
      <c r="I24" s="8" t="n">
        <v>31030.32</v>
      </c>
      <c r="J24" s="8" t="n">
        <v>30138.47</v>
      </c>
      <c r="K24" s="8" t="n">
        <v>29182.05</v>
      </c>
      <c r="L24" s="8" t="n">
        <v>28156.38</v>
      </c>
      <c r="M24" s="8" t="n">
        <v>27056.46</v>
      </c>
      <c r="N24" s="8" t="n">
        <v>25876.9</v>
      </c>
      <c r="O24" s="8" t="n">
        <v>24611.94</v>
      </c>
      <c r="P24" s="8" t="n">
        <v>23255.4</v>
      </c>
      <c r="Q24" s="8" t="n">
        <v>21800.64</v>
      </c>
      <c r="R24" s="8" t="n">
        <v>20240.57</v>
      </c>
      <c r="S24" s="8" t="n">
        <v>18567.54</v>
      </c>
      <c r="T24" s="8" t="n">
        <v>16773.38</v>
      </c>
      <c r="U24" s="8" t="n">
        <v>14849.33</v>
      </c>
      <c r="V24" s="8" t="n">
        <v>12785.97</v>
      </c>
      <c r="W24" s="8" t="n">
        <v>10573.23</v>
      </c>
      <c r="X24" s="8" t="n">
        <v>8200.290000000001</v>
      </c>
      <c r="Y24" s="8" t="n">
        <v>5655.55</v>
      </c>
      <c r="Z24" s="8" t="n">
        <v>2926.56</v>
      </c>
      <c r="AA24" s="8" t="n">
        <v>0</v>
      </c>
    </row>
    <row r="25">
      <c r="A25" s="4" t="inlineStr">
        <is>
          <t>Interest Payment ($)</t>
        </is>
      </c>
      <c r="B25" s="8" t="n">
        <v>0</v>
      </c>
      <c r="C25" s="8" t="n">
        <v>2591.69</v>
      </c>
      <c r="D25" s="8" t="n">
        <v>2552.1</v>
      </c>
      <c r="E25" s="8" t="n">
        <v>2509.65</v>
      </c>
      <c r="F25" s="8" t="n">
        <v>2464.13</v>
      </c>
      <c r="G25" s="8" t="n">
        <v>2415.31</v>
      </c>
      <c r="H25" s="8" t="n">
        <v>2362.95</v>
      </c>
      <c r="I25" s="8" t="n">
        <v>2306.81</v>
      </c>
      <c r="J25" s="8" t="n">
        <v>2246.59</v>
      </c>
      <c r="K25" s="8" t="n">
        <v>2182.02</v>
      </c>
      <c r="L25" s="8" t="n">
        <v>2112.78</v>
      </c>
      <c r="M25" s="8" t="n">
        <v>2038.52</v>
      </c>
      <c r="N25" s="8" t="n">
        <v>1958.89</v>
      </c>
      <c r="O25" s="8" t="n">
        <v>1873.49</v>
      </c>
      <c r="P25" s="8" t="n">
        <v>1781.9</v>
      </c>
      <c r="Q25" s="8" t="n">
        <v>1683.69</v>
      </c>
      <c r="R25" s="8" t="n">
        <v>1578.37</v>
      </c>
      <c r="S25" s="8" t="n">
        <v>1465.42</v>
      </c>
      <c r="T25" s="8" t="n">
        <v>1344.29</v>
      </c>
      <c r="U25" s="8" t="n">
        <v>1214.39</v>
      </c>
      <c r="V25" s="8" t="n">
        <v>1075.09</v>
      </c>
      <c r="W25" s="8" t="n">
        <v>925.7</v>
      </c>
      <c r="X25" s="8" t="n">
        <v>765.5</v>
      </c>
      <c r="Y25" s="8" t="n">
        <v>593.7</v>
      </c>
      <c r="Z25" s="8" t="n">
        <v>409.46</v>
      </c>
      <c r="AA25" s="8" t="n">
        <v>211.88</v>
      </c>
    </row>
    <row r="26">
      <c r="A26" s="4" t="inlineStr">
        <is>
          <t>Principal Payment ($)</t>
        </is>
      </c>
      <c r="B26" s="8" t="n">
        <v>0</v>
      </c>
      <c r="C26" s="8" t="n">
        <v>546.76</v>
      </c>
      <c r="D26" s="8" t="n">
        <v>586.34</v>
      </c>
      <c r="E26" s="8" t="n">
        <v>628.79</v>
      </c>
      <c r="F26" s="8" t="n">
        <v>674.3200000000001</v>
      </c>
      <c r="G26" s="8" t="n">
        <v>723.14</v>
      </c>
      <c r="H26" s="8" t="n">
        <v>775.49</v>
      </c>
      <c r="I26" s="8" t="n">
        <v>831.64</v>
      </c>
      <c r="J26" s="8" t="n">
        <v>891.85</v>
      </c>
      <c r="K26" s="8" t="n">
        <v>956.42</v>
      </c>
      <c r="L26" s="8" t="n">
        <v>1025.67</v>
      </c>
      <c r="M26" s="8" t="n">
        <v>1099.92</v>
      </c>
      <c r="N26" s="8" t="n">
        <v>1179.56</v>
      </c>
      <c r="O26" s="8" t="n">
        <v>1264.96</v>
      </c>
      <c r="P26" s="8" t="n">
        <v>1356.54</v>
      </c>
      <c r="Q26" s="8" t="n">
        <v>1454.75</v>
      </c>
      <c r="R26" s="8" t="n">
        <v>1560.08</v>
      </c>
      <c r="S26" s="8" t="n">
        <v>1673.03</v>
      </c>
      <c r="T26" s="8" t="n">
        <v>1794.16</v>
      </c>
      <c r="U26" s="8" t="n">
        <v>1924.05</v>
      </c>
      <c r="V26" s="8" t="n">
        <v>2063.35</v>
      </c>
      <c r="W26" s="8" t="n">
        <v>2212.74</v>
      </c>
      <c r="X26" s="8" t="n">
        <v>2372.94</v>
      </c>
      <c r="Y26" s="8" t="n">
        <v>2544.74</v>
      </c>
      <c r="Z26" s="8" t="n">
        <v>2728.98</v>
      </c>
      <c r="AA26" s="8" t="n">
        <v>2926.56</v>
      </c>
    </row>
    <row r="27">
      <c r="A27" s="4" t="inlineStr">
        <is>
          <t>Total P&amp;I Payment ($)</t>
        </is>
      </c>
      <c r="B27" s="8" t="n">
        <v>0</v>
      </c>
      <c r="C27" s="8" t="n">
        <v>3138.45</v>
      </c>
      <c r="D27" s="8" t="n">
        <v>3138.45</v>
      </c>
      <c r="E27" s="8" t="n">
        <v>3138.45</v>
      </c>
      <c r="F27" s="8" t="n">
        <v>3138.45</v>
      </c>
      <c r="G27" s="8" t="n">
        <v>3138.45</v>
      </c>
      <c r="H27" s="8" t="n">
        <v>3138.45</v>
      </c>
      <c r="I27" s="8" t="n">
        <v>3138.45</v>
      </c>
      <c r="J27" s="8" t="n">
        <v>3138.45</v>
      </c>
      <c r="K27" s="8" t="n">
        <v>3138.45</v>
      </c>
      <c r="L27" s="8" t="n">
        <v>3138.45</v>
      </c>
      <c r="M27" s="8" t="n">
        <v>3138.45</v>
      </c>
      <c r="N27" s="8" t="n">
        <v>3138.45</v>
      </c>
      <c r="O27" s="8" t="n">
        <v>3138.45</v>
      </c>
      <c r="P27" s="8" t="n">
        <v>3138.45</v>
      </c>
      <c r="Q27" s="8" t="n">
        <v>3138.45</v>
      </c>
      <c r="R27" s="8" t="n">
        <v>3138.45</v>
      </c>
      <c r="S27" s="8" t="n">
        <v>3138.45</v>
      </c>
      <c r="T27" s="8" t="n">
        <v>3138.45</v>
      </c>
      <c r="U27" s="8" t="n">
        <v>3138.45</v>
      </c>
      <c r="V27" s="8" t="n">
        <v>3138.45</v>
      </c>
      <c r="W27" s="8" t="n">
        <v>3138.45</v>
      </c>
      <c r="X27" s="8" t="n">
        <v>3138.45</v>
      </c>
      <c r="Y27" s="8" t="n">
        <v>3138.45</v>
      </c>
      <c r="Z27" s="8" t="n">
        <v>3138.45</v>
      </c>
      <c r="AA27" s="8" t="n">
        <v>3138.45</v>
      </c>
    </row>
    <row r="28">
      <c r="A28" s="4" t="inlineStr">
        <is>
          <t>Bill w/o System ($)</t>
        </is>
      </c>
      <c r="B28" s="8" t="n">
        <v>0</v>
      </c>
      <c r="C28" s="8" t="n">
        <v>2295.06</v>
      </c>
      <c r="D28" s="8" t="n">
        <v>2352.44</v>
      </c>
      <c r="E28" s="8" t="n">
        <v>2411.25</v>
      </c>
      <c r="F28" s="8" t="n">
        <v>2471.53</v>
      </c>
      <c r="G28" s="8" t="n">
        <v>2533.32</v>
      </c>
      <c r="H28" s="8" t="n">
        <v>2596.65</v>
      </c>
      <c r="I28" s="8" t="n">
        <v>2661.57</v>
      </c>
      <c r="J28" s="8" t="n">
        <v>2728.11</v>
      </c>
      <c r="K28" s="8" t="n">
        <v>2796.31</v>
      </c>
      <c r="L28" s="8" t="n">
        <v>2866.22</v>
      </c>
      <c r="M28" s="8" t="n">
        <v>2937.87</v>
      </c>
      <c r="N28" s="8" t="n">
        <v>3011.32</v>
      </c>
      <c r="O28" s="8" t="n">
        <v>3086.6</v>
      </c>
      <c r="P28" s="8" t="n">
        <v>3163.77</v>
      </c>
      <c r="Q28" s="8" t="n">
        <v>3242.86</v>
      </c>
      <c r="R28" s="8" t="n">
        <v>3323.93</v>
      </c>
      <c r="S28" s="8" t="n">
        <v>3407.03</v>
      </c>
      <c r="T28" s="8" t="n">
        <v>3492.21</v>
      </c>
      <c r="U28" s="8" t="n">
        <v>3579.51</v>
      </c>
      <c r="V28" s="8" t="n">
        <v>3669</v>
      </c>
      <c r="W28" s="8" t="n">
        <v>3760.72</v>
      </c>
      <c r="X28" s="8" t="n">
        <v>3854.74</v>
      </c>
      <c r="Y28" s="8" t="n">
        <v>3951.11</v>
      </c>
      <c r="Z28" s="8" t="n">
        <v>4049.89</v>
      </c>
      <c r="AA28" s="8" t="n">
        <v>4151.13</v>
      </c>
    </row>
    <row r="29">
      <c r="A29" s="4" t="inlineStr">
        <is>
          <t>Bill w/ System ($)</t>
        </is>
      </c>
      <c r="B29" s="8" t="n">
        <v>0</v>
      </c>
      <c r="C29" s="8" t="n">
        <v>864.3</v>
      </c>
      <c r="D29" s="8" t="n">
        <v>885.91</v>
      </c>
      <c r="E29" s="8" t="n">
        <v>908.0599999999999</v>
      </c>
      <c r="F29" s="8" t="n">
        <v>930.76</v>
      </c>
      <c r="G29" s="8" t="n">
        <v>954.03</v>
      </c>
      <c r="H29" s="8" t="n">
        <v>977.88</v>
      </c>
      <c r="I29" s="8" t="n">
        <v>1002.32</v>
      </c>
      <c r="J29" s="8" t="n">
        <v>1027.38</v>
      </c>
      <c r="K29" s="8" t="n">
        <v>1053.07</v>
      </c>
      <c r="L29" s="8" t="n">
        <v>1079.39</v>
      </c>
      <c r="M29" s="8" t="n">
        <v>1106.38</v>
      </c>
      <c r="N29" s="8" t="n">
        <v>1134.04</v>
      </c>
      <c r="O29" s="8" t="n">
        <v>1162.39</v>
      </c>
      <c r="P29" s="8" t="n">
        <v>1191.45</v>
      </c>
      <c r="Q29" s="8" t="n">
        <v>1221.23</v>
      </c>
      <c r="R29" s="8" t="n">
        <v>1251.76</v>
      </c>
      <c r="S29" s="8" t="n">
        <v>1283.06</v>
      </c>
      <c r="T29" s="8" t="n">
        <v>1315.13</v>
      </c>
      <c r="U29" s="8" t="n">
        <v>1348.01</v>
      </c>
      <c r="V29" s="8" t="n">
        <v>1381.71</v>
      </c>
      <c r="W29" s="8" t="n">
        <v>1416.26</v>
      </c>
      <c r="X29" s="8" t="n">
        <v>1451.66</v>
      </c>
      <c r="Y29" s="8" t="n">
        <v>1487.95</v>
      </c>
      <c r="Z29" s="8" t="n">
        <v>1525.15</v>
      </c>
      <c r="AA29" s="8" t="n">
        <v>1563.28</v>
      </c>
    </row>
    <row r="30">
      <c r="A30" s="4" t="inlineStr">
        <is>
          <t>Bill Savings ($)</t>
        </is>
      </c>
      <c r="B30" s="8" t="n">
        <v>0</v>
      </c>
      <c r="C30" s="8" t="n">
        <v>1430.76</v>
      </c>
      <c r="D30" s="8" t="n">
        <v>1430.76</v>
      </c>
      <c r="E30" s="8" t="n">
        <v>1430.76</v>
      </c>
      <c r="F30" s="8" t="n">
        <v>1430.76</v>
      </c>
      <c r="G30" s="8" t="n">
        <v>1430.76</v>
      </c>
      <c r="H30" s="8" t="n">
        <v>1430.76</v>
      </c>
      <c r="I30" s="8" t="n">
        <v>1430.76</v>
      </c>
      <c r="J30" s="8" t="n">
        <v>1430.76</v>
      </c>
      <c r="K30" s="8" t="n">
        <v>1430.76</v>
      </c>
      <c r="L30" s="8" t="n">
        <v>1430.76</v>
      </c>
      <c r="M30" s="8" t="n">
        <v>1430.76</v>
      </c>
      <c r="N30" s="8" t="n">
        <v>1430.76</v>
      </c>
      <c r="O30" s="8" t="n">
        <v>1430.76</v>
      </c>
      <c r="P30" s="8" t="n">
        <v>1430.76</v>
      </c>
      <c r="Q30" s="8" t="n">
        <v>1430.76</v>
      </c>
      <c r="R30" s="8" t="n">
        <v>1430.76</v>
      </c>
      <c r="S30" s="8" t="n">
        <v>1430.76</v>
      </c>
      <c r="T30" s="8" t="n">
        <v>1430.76</v>
      </c>
      <c r="U30" s="8" t="n">
        <v>1430.76</v>
      </c>
      <c r="V30" s="8" t="n">
        <v>1430.76</v>
      </c>
      <c r="W30" s="8" t="n">
        <v>1430.76</v>
      </c>
      <c r="X30" s="8" t="n">
        <v>1430.76</v>
      </c>
      <c r="Y30" s="8" t="n">
        <v>1430.76</v>
      </c>
      <c r="Z30" s="8" t="n">
        <v>1430.76</v>
      </c>
      <c r="AA30" s="8" t="n">
        <v>1430.76</v>
      </c>
    </row>
    <row r="31">
      <c r="A31" s="4" t="inlineStr">
        <is>
          <t>Escalated Bill Savings ($)</t>
        </is>
      </c>
      <c r="B31" s="8" t="n">
        <v>0</v>
      </c>
      <c r="C31" s="8" t="n">
        <v>1430.76</v>
      </c>
      <c r="D31" s="8" t="n">
        <v>1466.53</v>
      </c>
      <c r="E31" s="8" t="n">
        <v>1503.19</v>
      </c>
      <c r="F31" s="8" t="n">
        <v>1540.77</v>
      </c>
      <c r="G31" s="8" t="n">
        <v>1579.29</v>
      </c>
      <c r="H31" s="8" t="n">
        <v>1618.77</v>
      </c>
      <c r="I31" s="8" t="n">
        <v>1659.24</v>
      </c>
      <c r="J31" s="8" t="n">
        <v>1700.72</v>
      </c>
      <c r="K31" s="8" t="n">
        <v>1743.24</v>
      </c>
      <c r="L31" s="8" t="n">
        <v>1786.82</v>
      </c>
      <c r="M31" s="8" t="n">
        <v>1831.49</v>
      </c>
      <c r="N31" s="8" t="n">
        <v>1877.28</v>
      </c>
      <c r="O31" s="8" t="n">
        <v>1924.21</v>
      </c>
      <c r="P31" s="8" t="n">
        <v>1972.32</v>
      </c>
      <c r="Q31" s="8" t="n">
        <v>2021.63</v>
      </c>
      <c r="R31" s="8" t="n">
        <v>2072.17</v>
      </c>
      <c r="S31" s="8" t="n">
        <v>2123.97</v>
      </c>
      <c r="T31" s="8" t="n">
        <v>2177.07</v>
      </c>
      <c r="U31" s="8" t="n">
        <v>2231.5</v>
      </c>
      <c r="V31" s="8" t="n">
        <v>2287.28</v>
      </c>
      <c r="W31" s="8" t="n">
        <v>2344.47</v>
      </c>
      <c r="X31" s="8" t="n">
        <v>2403.08</v>
      </c>
      <c r="Y31" s="8" t="n">
        <v>2463.16</v>
      </c>
      <c r="Z31" s="8" t="n">
        <v>2524.73</v>
      </c>
      <c r="AA31" s="8" t="n">
        <v>2587.85</v>
      </c>
    </row>
    <row r="32">
      <c r="A32" s="4" t="inlineStr">
        <is>
          <t>SMART Annual ($)</t>
        </is>
      </c>
      <c r="B32" s="8" t="n">
        <v>0</v>
      </c>
      <c r="C32" s="8" t="n">
        <v>579.4</v>
      </c>
      <c r="D32" s="8" t="n">
        <v>579.4</v>
      </c>
      <c r="E32" s="8" t="n">
        <v>579.4</v>
      </c>
      <c r="F32" s="8" t="n">
        <v>579.4</v>
      </c>
      <c r="G32" s="8" t="n">
        <v>579.4</v>
      </c>
      <c r="H32" s="8" t="n">
        <v>579.4</v>
      </c>
      <c r="I32" s="8" t="n">
        <v>579.4</v>
      </c>
      <c r="J32" s="8" t="n">
        <v>579.4</v>
      </c>
      <c r="K32" s="8" t="n">
        <v>579.4</v>
      </c>
      <c r="L32" s="8" t="n">
        <v>579.4</v>
      </c>
      <c r="M32" s="8" t="n">
        <v>579.4</v>
      </c>
      <c r="N32" s="8" t="n">
        <v>579.4</v>
      </c>
      <c r="O32" s="8" t="n">
        <v>579.4</v>
      </c>
      <c r="P32" s="8" t="n">
        <v>579.4</v>
      </c>
      <c r="Q32" s="8" t="n">
        <v>579.4</v>
      </c>
      <c r="R32" s="8" t="n">
        <v>579.4</v>
      </c>
      <c r="S32" s="8" t="n">
        <v>579.4</v>
      </c>
      <c r="T32" s="8" t="n">
        <v>579.4</v>
      </c>
      <c r="U32" s="8" t="n">
        <v>579.4</v>
      </c>
      <c r="V32" s="8" t="n">
        <v>579.4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</row>
    <row r="33">
      <c r="A33" s="4" t="inlineStr">
        <is>
          <t>ConnectedSolutions ($)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</row>
    <row r="34">
      <c r="A34" s="4" t="inlineStr">
        <is>
          <t>Total Incentive Annual ($)</t>
        </is>
      </c>
      <c r="B34" s="8" t="n">
        <v>0</v>
      </c>
      <c r="C34" s="8" t="n">
        <v>579.4</v>
      </c>
      <c r="D34" s="8" t="n">
        <v>579.4</v>
      </c>
      <c r="E34" s="8" t="n">
        <v>579.4</v>
      </c>
      <c r="F34" s="8" t="n">
        <v>579.4</v>
      </c>
      <c r="G34" s="8" t="n">
        <v>579.4</v>
      </c>
      <c r="H34" s="8" t="n">
        <v>579.4</v>
      </c>
      <c r="I34" s="8" t="n">
        <v>579.4</v>
      </c>
      <c r="J34" s="8" t="n">
        <v>579.4</v>
      </c>
      <c r="K34" s="8" t="n">
        <v>579.4</v>
      </c>
      <c r="L34" s="8" t="n">
        <v>579.4</v>
      </c>
      <c r="M34" s="8" t="n">
        <v>579.4</v>
      </c>
      <c r="N34" s="8" t="n">
        <v>579.4</v>
      </c>
      <c r="O34" s="8" t="n">
        <v>579.4</v>
      </c>
      <c r="P34" s="8" t="n">
        <v>579.4</v>
      </c>
      <c r="Q34" s="8" t="n">
        <v>579.4</v>
      </c>
      <c r="R34" s="8" t="n">
        <v>579.4</v>
      </c>
      <c r="S34" s="8" t="n">
        <v>579.4</v>
      </c>
      <c r="T34" s="8" t="n">
        <v>579.4</v>
      </c>
      <c r="U34" s="8" t="n">
        <v>579.4</v>
      </c>
      <c r="V34" s="8" t="n">
        <v>579.4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</row>
    <row r="35">
      <c r="A35" s="11" t="inlineStr">
        <is>
          <t>Simple Payback (yr)</t>
        </is>
      </c>
      <c r="B35" s="14">
        <f>IF((C30+C31)&gt;0,B24/(C30+C31),"N/A")</f>
        <v/>
      </c>
      <c r="C35" s="8" t="n">
        <v>2010.16</v>
      </c>
      <c r="D35" s="8" t="n">
        <v>2045.93</v>
      </c>
      <c r="E35" s="8" t="n">
        <v>2082.59</v>
      </c>
      <c r="F35" s="8" t="n">
        <v>2120.17</v>
      </c>
      <c r="G35" s="8" t="n">
        <v>2158.69</v>
      </c>
      <c r="H35" s="8" t="n">
        <v>2198.17</v>
      </c>
      <c r="I35" s="8" t="n">
        <v>2238.64</v>
      </c>
      <c r="J35" s="8" t="n">
        <v>2280.12</v>
      </c>
      <c r="K35" s="8" t="n">
        <v>2322.64</v>
      </c>
      <c r="L35" s="8" t="n">
        <v>2366.22</v>
      </c>
      <c r="M35" s="8" t="n">
        <v>2410.89</v>
      </c>
      <c r="N35" s="8" t="n">
        <v>2456.68</v>
      </c>
      <c r="O35" s="8" t="n">
        <v>2503.61</v>
      </c>
      <c r="P35" s="8" t="n">
        <v>2551.72</v>
      </c>
      <c r="Q35" s="8" t="n">
        <v>2601.03</v>
      </c>
      <c r="R35" s="8" t="n">
        <v>2651.57</v>
      </c>
      <c r="S35" s="8" t="n">
        <v>2703.37</v>
      </c>
      <c r="T35" s="8" t="n">
        <v>2756.47</v>
      </c>
      <c r="U35" s="8" t="n">
        <v>2810.9</v>
      </c>
      <c r="V35" s="8" t="n">
        <v>2866.68</v>
      </c>
      <c r="W35" s="8" t="n">
        <v>2344.47</v>
      </c>
      <c r="X35" s="8" t="n">
        <v>2403.08</v>
      </c>
      <c r="Y35" s="8" t="n">
        <v>2463.16</v>
      </c>
      <c r="Z35" s="8" t="n">
        <v>2524.73</v>
      </c>
      <c r="AA35" s="8" t="n">
        <v>2587.85</v>
      </c>
    </row>
    <row r="36">
      <c r="A36" s="11" t="inlineStr">
        <is>
          <t>NPV Breakeven Year</t>
        </is>
      </c>
      <c r="B36" s="15" t="inlineStr">
        <is>
          <t>See Cumulative NPV row 34 for first year ≥ 0</t>
        </is>
      </c>
      <c r="C36" s="13" t="n">
        <v>-1128.29</v>
      </c>
      <c r="D36" s="13" t="n">
        <v>-1092.52</v>
      </c>
      <c r="E36" s="13" t="n">
        <v>-1055.85</v>
      </c>
      <c r="F36" s="13" t="n">
        <v>-1018.27</v>
      </c>
      <c r="G36" s="13" t="n">
        <v>-979.75</v>
      </c>
      <c r="H36" s="13" t="n">
        <v>-940.27</v>
      </c>
      <c r="I36" s="13" t="n">
        <v>-899.8</v>
      </c>
      <c r="J36" s="13" t="n">
        <v>-858.3200000000001</v>
      </c>
      <c r="K36" s="13" t="n">
        <v>-815.8</v>
      </c>
      <c r="L36" s="13" t="n">
        <v>-772.22</v>
      </c>
      <c r="M36" s="13" t="n">
        <v>-727.55</v>
      </c>
      <c r="N36" s="13" t="n">
        <v>-681.76</v>
      </c>
      <c r="O36" s="13" t="n">
        <v>-634.83</v>
      </c>
      <c r="P36" s="13" t="n">
        <v>-586.73</v>
      </c>
      <c r="Q36" s="13" t="n">
        <v>-537.42</v>
      </c>
      <c r="R36" s="13" t="n">
        <v>-486.88</v>
      </c>
      <c r="S36" s="13" t="n">
        <v>-435.07</v>
      </c>
      <c r="T36" s="13" t="n">
        <v>-381.97</v>
      </c>
      <c r="U36" s="13" t="n">
        <v>-327.55</v>
      </c>
      <c r="V36" s="13" t="n">
        <v>-271.76</v>
      </c>
      <c r="W36" s="13" t="n">
        <v>-793.98</v>
      </c>
      <c r="X36" s="13" t="n">
        <v>-735.37</v>
      </c>
      <c r="Y36" s="13" t="n">
        <v>-675.29</v>
      </c>
      <c r="Z36" s="13" t="n">
        <v>-613.71</v>
      </c>
      <c r="AA36" s="13" t="n">
        <v>-550.59</v>
      </c>
    </row>
    <row r="37">
      <c r="A37" s="4" t="inlineStr">
        <is>
          <t>Discounted Net Savings ($)</t>
        </is>
      </c>
      <c r="B37" s="8" t="n">
        <v>0</v>
      </c>
      <c r="C37" s="8" t="n">
        <v>-1060.42</v>
      </c>
      <c r="D37" s="8" t="n">
        <v>-965.04</v>
      </c>
      <c r="E37" s="8" t="n">
        <v>-876.55</v>
      </c>
      <c r="F37" s="8" t="n">
        <v>-794.51</v>
      </c>
      <c r="G37" s="8" t="n">
        <v>-718.47</v>
      </c>
      <c r="H37" s="8" t="n">
        <v>-648.04</v>
      </c>
      <c r="I37" s="8" t="n">
        <v>-582.85</v>
      </c>
      <c r="J37" s="8" t="n">
        <v>-522.54</v>
      </c>
      <c r="K37" s="8" t="n">
        <v>-466.78</v>
      </c>
      <c r="L37" s="8" t="n">
        <v>-415.27</v>
      </c>
      <c r="M37" s="8" t="n">
        <v>-367.71</v>
      </c>
      <c r="N37" s="8" t="n">
        <v>-323.84</v>
      </c>
      <c r="O37" s="8" t="n">
        <v>-283.41</v>
      </c>
      <c r="P37" s="8" t="n">
        <v>-246.18</v>
      </c>
      <c r="Q37" s="8" t="n">
        <v>-211.93</v>
      </c>
      <c r="R37" s="8" t="n">
        <v>-180.45</v>
      </c>
      <c r="S37" s="8" t="n">
        <v>-151.55</v>
      </c>
      <c r="T37" s="8" t="n">
        <v>-125.05</v>
      </c>
      <c r="U37" s="8" t="n">
        <v>-100.78</v>
      </c>
      <c r="V37" s="8" t="n">
        <v>-78.59</v>
      </c>
      <c r="W37" s="8" t="n">
        <v>-215.79</v>
      </c>
      <c r="X37" s="8" t="n">
        <v>-187.84</v>
      </c>
      <c r="Y37" s="8" t="n">
        <v>-162.12</v>
      </c>
      <c r="Z37" s="8" t="n">
        <v>-138.47</v>
      </c>
      <c r="AA37" s="8" t="n">
        <v>-116.76</v>
      </c>
    </row>
    <row r="38">
      <c r="A38" s="4" t="inlineStr">
        <is>
          <t>Cumulative NPV ($)</t>
        </is>
      </c>
      <c r="B38" s="8" t="n">
        <v>0</v>
      </c>
      <c r="C38" s="8" t="n">
        <v>-1060.42</v>
      </c>
      <c r="D38" s="8" t="n">
        <v>-2025.46</v>
      </c>
      <c r="E38" s="8" t="n">
        <v>-2902.01</v>
      </c>
      <c r="F38" s="8" t="n">
        <v>-3696.52</v>
      </c>
      <c r="G38" s="8" t="n">
        <v>-4414.99</v>
      </c>
      <c r="H38" s="8" t="n">
        <v>-5063.03</v>
      </c>
      <c r="I38" s="8" t="n">
        <v>-5645.88</v>
      </c>
      <c r="J38" s="8" t="n">
        <v>-6168.42</v>
      </c>
      <c r="K38" s="8" t="n">
        <v>-6635.2</v>
      </c>
      <c r="L38" s="8" t="n">
        <v>-7050.46</v>
      </c>
      <c r="M38" s="8" t="n">
        <v>-7418.17</v>
      </c>
      <c r="N38" s="8" t="n">
        <v>-7742.02</v>
      </c>
      <c r="O38" s="8" t="n">
        <v>-8025.43</v>
      </c>
      <c r="P38" s="8" t="n">
        <v>-8271.610000000001</v>
      </c>
      <c r="Q38" s="8" t="n">
        <v>-8483.540000000001</v>
      </c>
      <c r="R38" s="8" t="n">
        <v>-8663.98</v>
      </c>
      <c r="S38" s="8" t="n">
        <v>-8815.530000000001</v>
      </c>
      <c r="T38" s="8" t="n">
        <v>-8940.58</v>
      </c>
      <c r="U38" s="8" t="n">
        <v>-9041.370000000001</v>
      </c>
      <c r="V38" s="8" t="n">
        <v>-9119.950000000001</v>
      </c>
      <c r="W38" s="8" t="n">
        <v>-9335.75</v>
      </c>
      <c r="X38" s="8" t="n">
        <v>-9523.59</v>
      </c>
      <c r="Y38" s="8" t="n">
        <v>-9685.700000000001</v>
      </c>
      <c r="Z38" s="8" t="n">
        <v>-9824.18</v>
      </c>
      <c r="AA38" s="8" t="n">
        <v>-9940.940000000001</v>
      </c>
    </row>
    <row r="39"/>
    <row r="40"/>
    <row r="41">
      <c r="A41" s="10" t="inlineStr">
        <is>
          <t>Eversource PVS — No Incentives</t>
        </is>
      </c>
    </row>
    <row r="42">
      <c r="A42" s="2" t="inlineStr">
        <is>
          <t>Debt: $36,797 | PMT: $3,226/yr | Bill Savings Y1: $1,431</t>
        </is>
      </c>
    </row>
    <row r="43">
      <c r="A43" s="11" t="inlineStr">
        <is>
          <t>Year</t>
        </is>
      </c>
      <c r="B43" s="11" t="n">
        <v>0</v>
      </c>
      <c r="C43" s="11" t="n">
        <v>1</v>
      </c>
      <c r="D43" s="11" t="n">
        <v>2</v>
      </c>
      <c r="E43" s="11" t="n">
        <v>3</v>
      </c>
      <c r="F43" s="11" t="n">
        <v>4</v>
      </c>
      <c r="G43" s="11" t="n">
        <v>5</v>
      </c>
      <c r="H43" s="11" t="n">
        <v>6</v>
      </c>
      <c r="I43" s="11" t="n">
        <v>7</v>
      </c>
      <c r="J43" s="11" t="n">
        <v>8</v>
      </c>
      <c r="K43" s="11" t="n">
        <v>9</v>
      </c>
      <c r="L43" s="11" t="n">
        <v>10</v>
      </c>
      <c r="M43" s="11" t="n">
        <v>11</v>
      </c>
      <c r="N43" s="11" t="n">
        <v>12</v>
      </c>
      <c r="O43" s="11" t="n">
        <v>13</v>
      </c>
      <c r="P43" s="11" t="n">
        <v>14</v>
      </c>
      <c r="Q43" s="11" t="n">
        <v>15</v>
      </c>
      <c r="R43" s="11" t="n">
        <v>16</v>
      </c>
      <c r="S43" s="11" t="n">
        <v>17</v>
      </c>
      <c r="T43" s="11" t="n">
        <v>18</v>
      </c>
      <c r="U43" s="11" t="n">
        <v>19</v>
      </c>
      <c r="V43" s="11" t="n">
        <v>20</v>
      </c>
      <c r="W43" s="11" t="n">
        <v>21</v>
      </c>
      <c r="X43" s="11" t="n">
        <v>22</v>
      </c>
      <c r="Y43" s="11" t="n">
        <v>23</v>
      </c>
      <c r="Z43" s="11" t="n">
        <v>24</v>
      </c>
      <c r="AA43" s="11" t="n">
        <v>25</v>
      </c>
    </row>
    <row r="44">
      <c r="A44" s="4" t="inlineStr">
        <is>
          <t>Debt Balance ($)</t>
        </is>
      </c>
      <c r="B44" s="8" t="n">
        <v>36796.8</v>
      </c>
      <c r="C44" s="8" t="n">
        <v>36234.77</v>
      </c>
      <c r="D44" s="8" t="n">
        <v>35632.05</v>
      </c>
      <c r="E44" s="8" t="n">
        <v>34985.69</v>
      </c>
      <c r="F44" s="8" t="n">
        <v>34292.53</v>
      </c>
      <c r="G44" s="8" t="n">
        <v>33549.19</v>
      </c>
      <c r="H44" s="8" t="n">
        <v>32752.03</v>
      </c>
      <c r="I44" s="8" t="n">
        <v>31897.16</v>
      </c>
      <c r="J44" s="8" t="n">
        <v>30980.4</v>
      </c>
      <c r="K44" s="8" t="n">
        <v>29997.26</v>
      </c>
      <c r="L44" s="8" t="n">
        <v>28942.94</v>
      </c>
      <c r="M44" s="8" t="n">
        <v>27812.29</v>
      </c>
      <c r="N44" s="8" t="n">
        <v>26599.78</v>
      </c>
      <c r="O44" s="8" t="n">
        <v>25299.49</v>
      </c>
      <c r="P44" s="8" t="n">
        <v>23905.05</v>
      </c>
      <c r="Q44" s="8" t="n">
        <v>22409.66</v>
      </c>
      <c r="R44" s="8" t="n">
        <v>20806</v>
      </c>
      <c r="S44" s="8" t="n">
        <v>19086.23</v>
      </c>
      <c r="T44" s="8" t="n">
        <v>17241.95</v>
      </c>
      <c r="U44" s="8" t="n">
        <v>15264.15</v>
      </c>
      <c r="V44" s="8" t="n">
        <v>13143.16</v>
      </c>
      <c r="W44" s="8" t="n">
        <v>10868.6</v>
      </c>
      <c r="X44" s="8" t="n">
        <v>8429.370000000001</v>
      </c>
      <c r="Y44" s="8" t="n">
        <v>5813.54</v>
      </c>
      <c r="Z44" s="8" t="n">
        <v>3008.32</v>
      </c>
      <c r="AA44" s="8" t="n">
        <v>0</v>
      </c>
    </row>
    <row r="45">
      <c r="A45" s="4" t="inlineStr">
        <is>
          <t>Interest Payment ($)</t>
        </is>
      </c>
      <c r="B45" s="8" t="n">
        <v>0</v>
      </c>
      <c r="C45" s="8" t="n">
        <v>2664.09</v>
      </c>
      <c r="D45" s="8" t="n">
        <v>2623.4</v>
      </c>
      <c r="E45" s="8" t="n">
        <v>2579.76</v>
      </c>
      <c r="F45" s="8" t="n">
        <v>2532.96</v>
      </c>
      <c r="G45" s="8" t="n">
        <v>2482.78</v>
      </c>
      <c r="H45" s="8" t="n">
        <v>2428.96</v>
      </c>
      <c r="I45" s="8" t="n">
        <v>2371.25</v>
      </c>
      <c r="J45" s="8" t="n">
        <v>2309.35</v>
      </c>
      <c r="K45" s="8" t="n">
        <v>2242.98</v>
      </c>
      <c r="L45" s="8" t="n">
        <v>2171.8</v>
      </c>
      <c r="M45" s="8" t="n">
        <v>2095.47</v>
      </c>
      <c r="N45" s="8" t="n">
        <v>2013.61</v>
      </c>
      <c r="O45" s="8" t="n">
        <v>1925.82</v>
      </c>
      <c r="P45" s="8" t="n">
        <v>1831.68</v>
      </c>
      <c r="Q45" s="8" t="n">
        <v>1730.73</v>
      </c>
      <c r="R45" s="8" t="n">
        <v>1622.46</v>
      </c>
      <c r="S45" s="8" t="n">
        <v>1506.35</v>
      </c>
      <c r="T45" s="8" t="n">
        <v>1381.84</v>
      </c>
      <c r="U45" s="8" t="n">
        <v>1248.32</v>
      </c>
      <c r="V45" s="8" t="n">
        <v>1105.12</v>
      </c>
      <c r="W45" s="8" t="n">
        <v>951.5599999999999</v>
      </c>
      <c r="X45" s="8" t="n">
        <v>786.89</v>
      </c>
      <c r="Y45" s="8" t="n">
        <v>610.29</v>
      </c>
      <c r="Z45" s="8" t="n">
        <v>420.9</v>
      </c>
      <c r="AA45" s="8" t="n">
        <v>217.8</v>
      </c>
    </row>
    <row r="46">
      <c r="A46" s="4" t="inlineStr">
        <is>
          <t>Principal Payment ($)</t>
        </is>
      </c>
      <c r="B46" s="8" t="n">
        <v>0</v>
      </c>
      <c r="C46" s="8" t="n">
        <v>562.03</v>
      </c>
      <c r="D46" s="8" t="n">
        <v>602.72</v>
      </c>
      <c r="E46" s="8" t="n">
        <v>646.36</v>
      </c>
      <c r="F46" s="8" t="n">
        <v>693.16</v>
      </c>
      <c r="G46" s="8" t="n">
        <v>743.34</v>
      </c>
      <c r="H46" s="8" t="n">
        <v>797.16</v>
      </c>
      <c r="I46" s="8" t="n">
        <v>854.87</v>
      </c>
      <c r="J46" s="8" t="n">
        <v>916.76</v>
      </c>
      <c r="K46" s="8" t="n">
        <v>983.14</v>
      </c>
      <c r="L46" s="8" t="n">
        <v>1054.32</v>
      </c>
      <c r="M46" s="8" t="n">
        <v>1130.65</v>
      </c>
      <c r="N46" s="8" t="n">
        <v>1212.51</v>
      </c>
      <c r="O46" s="8" t="n">
        <v>1300.3</v>
      </c>
      <c r="P46" s="8" t="n">
        <v>1394.44</v>
      </c>
      <c r="Q46" s="8" t="n">
        <v>1495.39</v>
      </c>
      <c r="R46" s="8" t="n">
        <v>1603.66</v>
      </c>
      <c r="S46" s="8" t="n">
        <v>1719.77</v>
      </c>
      <c r="T46" s="8" t="n">
        <v>1844.28</v>
      </c>
      <c r="U46" s="8" t="n">
        <v>1977.8</v>
      </c>
      <c r="V46" s="8" t="n">
        <v>2120.99</v>
      </c>
      <c r="W46" s="8" t="n">
        <v>2274.55</v>
      </c>
      <c r="X46" s="8" t="n">
        <v>2439.23</v>
      </c>
      <c r="Y46" s="8" t="n">
        <v>2615.83</v>
      </c>
      <c r="Z46" s="8" t="n">
        <v>2805.22</v>
      </c>
      <c r="AA46" s="8" t="n">
        <v>3008.32</v>
      </c>
    </row>
    <row r="47">
      <c r="A47" s="4" t="inlineStr">
        <is>
          <t>Total P&amp;I Payment ($)</t>
        </is>
      </c>
      <c r="B47" s="8" t="n">
        <v>0</v>
      </c>
      <c r="C47" s="8" t="n">
        <v>3226.12</v>
      </c>
      <c r="D47" s="8" t="n">
        <v>3226.12</v>
      </c>
      <c r="E47" s="8" t="n">
        <v>3226.12</v>
      </c>
      <c r="F47" s="8" t="n">
        <v>3226.12</v>
      </c>
      <c r="G47" s="8" t="n">
        <v>3226.12</v>
      </c>
      <c r="H47" s="8" t="n">
        <v>3226.12</v>
      </c>
      <c r="I47" s="8" t="n">
        <v>3226.12</v>
      </c>
      <c r="J47" s="8" t="n">
        <v>3226.12</v>
      </c>
      <c r="K47" s="8" t="n">
        <v>3226.12</v>
      </c>
      <c r="L47" s="8" t="n">
        <v>3226.12</v>
      </c>
      <c r="M47" s="8" t="n">
        <v>3226.12</v>
      </c>
      <c r="N47" s="8" t="n">
        <v>3226.12</v>
      </c>
      <c r="O47" s="8" t="n">
        <v>3226.12</v>
      </c>
      <c r="P47" s="8" t="n">
        <v>3226.12</v>
      </c>
      <c r="Q47" s="8" t="n">
        <v>3226.12</v>
      </c>
      <c r="R47" s="8" t="n">
        <v>3226.12</v>
      </c>
      <c r="S47" s="8" t="n">
        <v>3226.12</v>
      </c>
      <c r="T47" s="8" t="n">
        <v>3226.12</v>
      </c>
      <c r="U47" s="8" t="n">
        <v>3226.12</v>
      </c>
      <c r="V47" s="8" t="n">
        <v>3226.12</v>
      </c>
      <c r="W47" s="8" t="n">
        <v>3226.12</v>
      </c>
      <c r="X47" s="8" t="n">
        <v>3226.12</v>
      </c>
      <c r="Y47" s="8" t="n">
        <v>3226.12</v>
      </c>
      <c r="Z47" s="8" t="n">
        <v>3226.12</v>
      </c>
      <c r="AA47" s="8" t="n">
        <v>3226.12</v>
      </c>
    </row>
    <row r="48">
      <c r="A48" s="4" t="inlineStr">
        <is>
          <t>Bill w/o System ($)</t>
        </is>
      </c>
      <c r="B48" s="8" t="n">
        <v>0</v>
      </c>
      <c r="C48" s="8" t="n">
        <v>2295.06</v>
      </c>
      <c r="D48" s="8" t="n">
        <v>2352.44</v>
      </c>
      <c r="E48" s="8" t="n">
        <v>2411.25</v>
      </c>
      <c r="F48" s="8" t="n">
        <v>2471.53</v>
      </c>
      <c r="G48" s="8" t="n">
        <v>2533.32</v>
      </c>
      <c r="H48" s="8" t="n">
        <v>2596.65</v>
      </c>
      <c r="I48" s="8" t="n">
        <v>2661.57</v>
      </c>
      <c r="J48" s="8" t="n">
        <v>2728.11</v>
      </c>
      <c r="K48" s="8" t="n">
        <v>2796.31</v>
      </c>
      <c r="L48" s="8" t="n">
        <v>2866.22</v>
      </c>
      <c r="M48" s="8" t="n">
        <v>2937.87</v>
      </c>
      <c r="N48" s="8" t="n">
        <v>3011.32</v>
      </c>
      <c r="O48" s="8" t="n">
        <v>3086.6</v>
      </c>
      <c r="P48" s="8" t="n">
        <v>3163.77</v>
      </c>
      <c r="Q48" s="8" t="n">
        <v>3242.86</v>
      </c>
      <c r="R48" s="8" t="n">
        <v>3323.93</v>
      </c>
      <c r="S48" s="8" t="n">
        <v>3407.03</v>
      </c>
      <c r="T48" s="8" t="n">
        <v>3492.21</v>
      </c>
      <c r="U48" s="8" t="n">
        <v>3579.51</v>
      </c>
      <c r="V48" s="8" t="n">
        <v>3669</v>
      </c>
      <c r="W48" s="8" t="n">
        <v>3760.72</v>
      </c>
      <c r="X48" s="8" t="n">
        <v>3854.74</v>
      </c>
      <c r="Y48" s="8" t="n">
        <v>3951.11</v>
      </c>
      <c r="Z48" s="8" t="n">
        <v>4049.89</v>
      </c>
      <c r="AA48" s="8" t="n">
        <v>4151.13</v>
      </c>
    </row>
    <row r="49">
      <c r="A49" s="4" t="inlineStr">
        <is>
          <t>Bill w/ System ($)</t>
        </is>
      </c>
      <c r="B49" s="8" t="n">
        <v>0</v>
      </c>
      <c r="C49" s="8" t="n">
        <v>864.3</v>
      </c>
      <c r="D49" s="8" t="n">
        <v>885.91</v>
      </c>
      <c r="E49" s="8" t="n">
        <v>908.0599999999999</v>
      </c>
      <c r="F49" s="8" t="n">
        <v>930.76</v>
      </c>
      <c r="G49" s="8" t="n">
        <v>954.03</v>
      </c>
      <c r="H49" s="8" t="n">
        <v>977.88</v>
      </c>
      <c r="I49" s="8" t="n">
        <v>1002.32</v>
      </c>
      <c r="J49" s="8" t="n">
        <v>1027.38</v>
      </c>
      <c r="K49" s="8" t="n">
        <v>1053.07</v>
      </c>
      <c r="L49" s="8" t="n">
        <v>1079.39</v>
      </c>
      <c r="M49" s="8" t="n">
        <v>1106.38</v>
      </c>
      <c r="N49" s="8" t="n">
        <v>1134.04</v>
      </c>
      <c r="O49" s="8" t="n">
        <v>1162.39</v>
      </c>
      <c r="P49" s="8" t="n">
        <v>1191.45</v>
      </c>
      <c r="Q49" s="8" t="n">
        <v>1221.23</v>
      </c>
      <c r="R49" s="8" t="n">
        <v>1251.76</v>
      </c>
      <c r="S49" s="8" t="n">
        <v>1283.06</v>
      </c>
      <c r="T49" s="8" t="n">
        <v>1315.13</v>
      </c>
      <c r="U49" s="8" t="n">
        <v>1348.01</v>
      </c>
      <c r="V49" s="8" t="n">
        <v>1381.71</v>
      </c>
      <c r="W49" s="8" t="n">
        <v>1416.26</v>
      </c>
      <c r="X49" s="8" t="n">
        <v>1451.66</v>
      </c>
      <c r="Y49" s="8" t="n">
        <v>1487.95</v>
      </c>
      <c r="Z49" s="8" t="n">
        <v>1525.15</v>
      </c>
      <c r="AA49" s="8" t="n">
        <v>1563.28</v>
      </c>
    </row>
    <row r="50">
      <c r="A50" s="4" t="inlineStr">
        <is>
          <t>Bill Savings ($)</t>
        </is>
      </c>
      <c r="B50" s="8" t="n">
        <v>0</v>
      </c>
      <c r="C50" s="8" t="n">
        <v>1430.76</v>
      </c>
      <c r="D50" s="8" t="n">
        <v>1430.76</v>
      </c>
      <c r="E50" s="8" t="n">
        <v>1430.76</v>
      </c>
      <c r="F50" s="8" t="n">
        <v>1430.76</v>
      </c>
      <c r="G50" s="8" t="n">
        <v>1430.76</v>
      </c>
      <c r="H50" s="8" t="n">
        <v>1430.76</v>
      </c>
      <c r="I50" s="8" t="n">
        <v>1430.76</v>
      </c>
      <c r="J50" s="8" t="n">
        <v>1430.76</v>
      </c>
      <c r="K50" s="8" t="n">
        <v>1430.76</v>
      </c>
      <c r="L50" s="8" t="n">
        <v>1430.76</v>
      </c>
      <c r="M50" s="8" t="n">
        <v>1430.76</v>
      </c>
      <c r="N50" s="8" t="n">
        <v>1430.76</v>
      </c>
      <c r="O50" s="8" t="n">
        <v>1430.76</v>
      </c>
      <c r="P50" s="8" t="n">
        <v>1430.76</v>
      </c>
      <c r="Q50" s="8" t="n">
        <v>1430.76</v>
      </c>
      <c r="R50" s="8" t="n">
        <v>1430.76</v>
      </c>
      <c r="S50" s="8" t="n">
        <v>1430.76</v>
      </c>
      <c r="T50" s="8" t="n">
        <v>1430.76</v>
      </c>
      <c r="U50" s="8" t="n">
        <v>1430.76</v>
      </c>
      <c r="V50" s="8" t="n">
        <v>1430.76</v>
      </c>
      <c r="W50" s="8" t="n">
        <v>1430.76</v>
      </c>
      <c r="X50" s="8" t="n">
        <v>1430.76</v>
      </c>
      <c r="Y50" s="8" t="n">
        <v>1430.76</v>
      </c>
      <c r="Z50" s="8" t="n">
        <v>1430.76</v>
      </c>
      <c r="AA50" s="8" t="n">
        <v>1430.76</v>
      </c>
    </row>
    <row r="51">
      <c r="A51" s="4" t="inlineStr">
        <is>
          <t>Escalated Bill Savings ($)</t>
        </is>
      </c>
      <c r="B51" s="8" t="n">
        <v>0</v>
      </c>
      <c r="C51" s="8" t="n">
        <v>1430.76</v>
      </c>
      <c r="D51" s="8" t="n">
        <v>1466.53</v>
      </c>
      <c r="E51" s="8" t="n">
        <v>1503.19</v>
      </c>
      <c r="F51" s="8" t="n">
        <v>1540.77</v>
      </c>
      <c r="G51" s="8" t="n">
        <v>1579.29</v>
      </c>
      <c r="H51" s="8" t="n">
        <v>1618.77</v>
      </c>
      <c r="I51" s="8" t="n">
        <v>1659.24</v>
      </c>
      <c r="J51" s="8" t="n">
        <v>1700.72</v>
      </c>
      <c r="K51" s="8" t="n">
        <v>1743.24</v>
      </c>
      <c r="L51" s="8" t="n">
        <v>1786.82</v>
      </c>
      <c r="M51" s="8" t="n">
        <v>1831.49</v>
      </c>
      <c r="N51" s="8" t="n">
        <v>1877.28</v>
      </c>
      <c r="O51" s="8" t="n">
        <v>1924.21</v>
      </c>
      <c r="P51" s="8" t="n">
        <v>1972.32</v>
      </c>
      <c r="Q51" s="8" t="n">
        <v>2021.63</v>
      </c>
      <c r="R51" s="8" t="n">
        <v>2072.17</v>
      </c>
      <c r="S51" s="8" t="n">
        <v>2123.97</v>
      </c>
      <c r="T51" s="8" t="n">
        <v>2177.07</v>
      </c>
      <c r="U51" s="8" t="n">
        <v>2231.5</v>
      </c>
      <c r="V51" s="8" t="n">
        <v>2287.28</v>
      </c>
      <c r="W51" s="8" t="n">
        <v>2344.47</v>
      </c>
      <c r="X51" s="8" t="n">
        <v>2403.08</v>
      </c>
      <c r="Y51" s="8" t="n">
        <v>2463.16</v>
      </c>
      <c r="Z51" s="8" t="n">
        <v>2524.73</v>
      </c>
      <c r="AA51" s="8" t="n">
        <v>2587.85</v>
      </c>
    </row>
    <row r="52">
      <c r="A52" s="4" t="inlineStr">
        <is>
          <t>SMART Annual ($)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</row>
    <row r="53">
      <c r="A53" s="4" t="inlineStr">
        <is>
          <t>ConnectedSolutions ($)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</row>
    <row r="54">
      <c r="A54" s="4" t="inlineStr">
        <is>
          <t>Total Incentive Annual ($)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</row>
    <row r="55">
      <c r="A55" s="11" t="inlineStr">
        <is>
          <t>Simple Payback (yr)</t>
        </is>
      </c>
      <c r="B55" s="14">
        <f>IF((C50+C51)&gt;0,B44/(C50+C51),"N/A")</f>
        <v/>
      </c>
      <c r="C55" s="8" t="n">
        <v>1430.76</v>
      </c>
      <c r="D55" s="8" t="n">
        <v>1466.53</v>
      </c>
      <c r="E55" s="8" t="n">
        <v>1503.19</v>
      </c>
      <c r="F55" s="8" t="n">
        <v>1540.77</v>
      </c>
      <c r="G55" s="8" t="n">
        <v>1579.29</v>
      </c>
      <c r="H55" s="8" t="n">
        <v>1618.77</v>
      </c>
      <c r="I55" s="8" t="n">
        <v>1659.24</v>
      </c>
      <c r="J55" s="8" t="n">
        <v>1700.72</v>
      </c>
      <c r="K55" s="8" t="n">
        <v>1743.24</v>
      </c>
      <c r="L55" s="8" t="n">
        <v>1786.82</v>
      </c>
      <c r="M55" s="8" t="n">
        <v>1831.49</v>
      </c>
      <c r="N55" s="8" t="n">
        <v>1877.28</v>
      </c>
      <c r="O55" s="8" t="n">
        <v>1924.21</v>
      </c>
      <c r="P55" s="8" t="n">
        <v>1972.32</v>
      </c>
      <c r="Q55" s="8" t="n">
        <v>2021.63</v>
      </c>
      <c r="R55" s="8" t="n">
        <v>2072.17</v>
      </c>
      <c r="S55" s="8" t="n">
        <v>2123.97</v>
      </c>
      <c r="T55" s="8" t="n">
        <v>2177.07</v>
      </c>
      <c r="U55" s="8" t="n">
        <v>2231.5</v>
      </c>
      <c r="V55" s="8" t="n">
        <v>2287.28</v>
      </c>
      <c r="W55" s="8" t="n">
        <v>2344.47</v>
      </c>
      <c r="X55" s="8" t="n">
        <v>2403.08</v>
      </c>
      <c r="Y55" s="8" t="n">
        <v>2463.16</v>
      </c>
      <c r="Z55" s="8" t="n">
        <v>2524.73</v>
      </c>
      <c r="AA55" s="8" t="n">
        <v>2587.85</v>
      </c>
    </row>
    <row r="56">
      <c r="A56" s="11" t="inlineStr">
        <is>
          <t>NPV Breakeven Year</t>
        </is>
      </c>
      <c r="B56" s="15" t="inlineStr">
        <is>
          <t>See Cumulative NPV row 54 for first year ≥ 0</t>
        </is>
      </c>
      <c r="C56" s="13" t="n">
        <v>-1795.36</v>
      </c>
      <c r="D56" s="13" t="n">
        <v>-1759.59</v>
      </c>
      <c r="E56" s="13" t="n">
        <v>-1722.93</v>
      </c>
      <c r="F56" s="13" t="n">
        <v>-1685.35</v>
      </c>
      <c r="G56" s="13" t="n">
        <v>-1646.83</v>
      </c>
      <c r="H56" s="13" t="n">
        <v>-1607.35</v>
      </c>
      <c r="I56" s="13" t="n">
        <v>-1566.88</v>
      </c>
      <c r="J56" s="13" t="n">
        <v>-1525.4</v>
      </c>
      <c r="K56" s="13" t="n">
        <v>-1482.88</v>
      </c>
      <c r="L56" s="13" t="n">
        <v>-1439.3</v>
      </c>
      <c r="M56" s="13" t="n">
        <v>-1394.63</v>
      </c>
      <c r="N56" s="13" t="n">
        <v>-1348.84</v>
      </c>
      <c r="O56" s="13" t="n">
        <v>-1301.91</v>
      </c>
      <c r="P56" s="13" t="n">
        <v>-1253.8</v>
      </c>
      <c r="Q56" s="13" t="n">
        <v>-1204.49</v>
      </c>
      <c r="R56" s="13" t="n">
        <v>-1153.95</v>
      </c>
      <c r="S56" s="13" t="n">
        <v>-1102.15</v>
      </c>
      <c r="T56" s="13" t="n">
        <v>-1049.05</v>
      </c>
      <c r="U56" s="13" t="n">
        <v>-994.62</v>
      </c>
      <c r="V56" s="13" t="n">
        <v>-938.83</v>
      </c>
      <c r="W56" s="13" t="n">
        <v>-881.65</v>
      </c>
      <c r="X56" s="13" t="n">
        <v>-823.04</v>
      </c>
      <c r="Y56" s="13" t="n">
        <v>-762.96</v>
      </c>
      <c r="Z56" s="13" t="n">
        <v>-701.38</v>
      </c>
      <c r="AA56" s="13" t="n">
        <v>-638.27</v>
      </c>
    </row>
    <row r="57">
      <c r="A57" s="4" t="inlineStr">
        <is>
          <t>Discounted Net Savings ($)</t>
        </is>
      </c>
      <c r="B57" s="8" t="n">
        <v>0</v>
      </c>
      <c r="C57" s="8" t="n">
        <v>-1687.37</v>
      </c>
      <c r="D57" s="8" t="n">
        <v>-1554.28</v>
      </c>
      <c r="E57" s="8" t="n">
        <v>-1430.35</v>
      </c>
      <c r="F57" s="8" t="n">
        <v>-1314.99</v>
      </c>
      <c r="G57" s="8" t="n">
        <v>-1207.65</v>
      </c>
      <c r="H57" s="8" t="n">
        <v>-1107.8</v>
      </c>
      <c r="I57" s="8" t="n">
        <v>-1014.95</v>
      </c>
      <c r="J57" s="8" t="n">
        <v>-928.64</v>
      </c>
      <c r="K57" s="8" t="n">
        <v>-848.46</v>
      </c>
      <c r="L57" s="8" t="n">
        <v>-773.99</v>
      </c>
      <c r="M57" s="8" t="n">
        <v>-704.85</v>
      </c>
      <c r="N57" s="8" t="n">
        <v>-640.71</v>
      </c>
      <c r="O57" s="8" t="n">
        <v>-581.22</v>
      </c>
      <c r="P57" s="8" t="n">
        <v>-526.0700000000001</v>
      </c>
      <c r="Q57" s="8" t="n">
        <v>-474.98</v>
      </c>
      <c r="R57" s="8" t="n">
        <v>-427.68</v>
      </c>
      <c r="S57" s="8" t="n">
        <v>-383.91</v>
      </c>
      <c r="T57" s="8" t="n">
        <v>-343.44</v>
      </c>
      <c r="U57" s="8" t="n">
        <v>-306.03</v>
      </c>
      <c r="V57" s="8" t="n">
        <v>-271.49</v>
      </c>
      <c r="W57" s="8" t="n">
        <v>-239.62</v>
      </c>
      <c r="X57" s="8" t="n">
        <v>-210.24</v>
      </c>
      <c r="Y57" s="8" t="n">
        <v>-183.17</v>
      </c>
      <c r="Z57" s="8" t="n">
        <v>-158.25</v>
      </c>
      <c r="AA57" s="8" t="n">
        <v>-135.35</v>
      </c>
    </row>
    <row r="58">
      <c r="A58" s="4" t="inlineStr">
        <is>
          <t>Cumulative NPV ($)</t>
        </is>
      </c>
      <c r="B58" s="8" t="n">
        <v>0</v>
      </c>
      <c r="C58" s="8" t="n">
        <v>-1687.37</v>
      </c>
      <c r="D58" s="8" t="n">
        <v>-3241.64</v>
      </c>
      <c r="E58" s="8" t="n">
        <v>-4671.99</v>
      </c>
      <c r="F58" s="8" t="n">
        <v>-5986.98</v>
      </c>
      <c r="G58" s="8" t="n">
        <v>-7194.63</v>
      </c>
      <c r="H58" s="8" t="n">
        <v>-8302.43</v>
      </c>
      <c r="I58" s="8" t="n">
        <v>-9317.370000000001</v>
      </c>
      <c r="J58" s="8" t="n">
        <v>-10246.02</v>
      </c>
      <c r="K58" s="8" t="n">
        <v>-11094.48</v>
      </c>
      <c r="L58" s="8" t="n">
        <v>-11868.46</v>
      </c>
      <c r="M58" s="8" t="n">
        <v>-12573.32</v>
      </c>
      <c r="N58" s="8" t="n">
        <v>-13214.03</v>
      </c>
      <c r="O58" s="8" t="n">
        <v>-13795.24</v>
      </c>
      <c r="P58" s="8" t="n">
        <v>-14321.32</v>
      </c>
      <c r="Q58" s="8" t="n">
        <v>-14796.3</v>
      </c>
      <c r="R58" s="8" t="n">
        <v>-15223.99</v>
      </c>
      <c r="S58" s="8" t="n">
        <v>-15607.9</v>
      </c>
      <c r="T58" s="8" t="n">
        <v>-15951.33</v>
      </c>
      <c r="U58" s="8" t="n">
        <v>-16257.37</v>
      </c>
      <c r="V58" s="8" t="n">
        <v>-16528.86</v>
      </c>
      <c r="W58" s="8" t="n">
        <v>-16768.48</v>
      </c>
      <c r="X58" s="8" t="n">
        <v>-16978.71</v>
      </c>
      <c r="Y58" s="8" t="n">
        <v>-17161.88</v>
      </c>
      <c r="Z58" s="8" t="n">
        <v>-17320.14</v>
      </c>
      <c r="AA58" s="8" t="n">
        <v>-17455.49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0" t="inlineStr">
        <is>
          <t>NGrid Solar — All Incentives</t>
        </is>
      </c>
    </row>
    <row r="2">
      <c r="A2" s="2" t="inlineStr">
        <is>
          <t>Debt: $15,709 | PMT: $1,377/yr | Bill Savings Y1: $2,088</t>
        </is>
      </c>
    </row>
    <row r="3">
      <c r="A3" s="11" t="inlineStr">
        <is>
          <t>Year</t>
        </is>
      </c>
      <c r="B3" s="11" t="n">
        <v>0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</row>
    <row r="4">
      <c r="A4" s="4" t="inlineStr">
        <is>
          <t>Debt Balance ($)</t>
        </is>
      </c>
      <c r="B4" s="8" t="n">
        <v>15708.8</v>
      </c>
      <c r="C4" s="8" t="n">
        <v>15468.87</v>
      </c>
      <c r="D4" s="8" t="n">
        <v>15211.56</v>
      </c>
      <c r="E4" s="8" t="n">
        <v>14935.62</v>
      </c>
      <c r="F4" s="8" t="n">
        <v>14639.71</v>
      </c>
      <c r="G4" s="8" t="n">
        <v>14322.37</v>
      </c>
      <c r="H4" s="8" t="n">
        <v>13982.06</v>
      </c>
      <c r="I4" s="8" t="n">
        <v>13617.11</v>
      </c>
      <c r="J4" s="8" t="n">
        <v>13225.74</v>
      </c>
      <c r="K4" s="8" t="n">
        <v>12806.03</v>
      </c>
      <c r="L4" s="8" t="n">
        <v>12355.94</v>
      </c>
      <c r="M4" s="8" t="n">
        <v>11873.25</v>
      </c>
      <c r="N4" s="8" t="n">
        <v>11355.62</v>
      </c>
      <c r="O4" s="8" t="n">
        <v>10800.52</v>
      </c>
      <c r="P4" s="8" t="n">
        <v>10205.23</v>
      </c>
      <c r="Q4" s="8" t="n">
        <v>9566.83</v>
      </c>
      <c r="R4" s="8" t="n">
        <v>8882.219999999999</v>
      </c>
      <c r="S4" s="8" t="n">
        <v>8148.04</v>
      </c>
      <c r="T4" s="8" t="n">
        <v>7360.71</v>
      </c>
      <c r="U4" s="8" t="n">
        <v>6516.37</v>
      </c>
      <c r="V4" s="8" t="n">
        <v>5610.9</v>
      </c>
      <c r="W4" s="8" t="n">
        <v>4639.88</v>
      </c>
      <c r="X4" s="8" t="n">
        <v>3598.55</v>
      </c>
      <c r="Y4" s="8" t="n">
        <v>2481.84</v>
      </c>
      <c r="Z4" s="8" t="n">
        <v>1284.27</v>
      </c>
      <c r="AA4" s="8" t="n">
        <v>0</v>
      </c>
    </row>
    <row r="5">
      <c r="A5" s="4" t="inlineStr">
        <is>
          <t>Interest Payment ($)</t>
        </is>
      </c>
      <c r="B5" s="8" t="n">
        <v>0</v>
      </c>
      <c r="C5" s="8" t="n">
        <v>1137.32</v>
      </c>
      <c r="D5" s="8" t="n">
        <v>1119.95</v>
      </c>
      <c r="E5" s="8" t="n">
        <v>1101.32</v>
      </c>
      <c r="F5" s="8" t="n">
        <v>1081.34</v>
      </c>
      <c r="G5" s="8" t="n">
        <v>1059.92</v>
      </c>
      <c r="H5" s="8" t="n">
        <v>1036.94</v>
      </c>
      <c r="I5" s="8" t="n">
        <v>1012.3</v>
      </c>
      <c r="J5" s="8" t="n">
        <v>985.88</v>
      </c>
      <c r="K5" s="8" t="n">
        <v>957.54</v>
      </c>
      <c r="L5" s="8" t="n">
        <v>927.16</v>
      </c>
      <c r="M5" s="8" t="n">
        <v>894.5700000000001</v>
      </c>
      <c r="N5" s="8" t="n">
        <v>859.62</v>
      </c>
      <c r="O5" s="8" t="n">
        <v>822.15</v>
      </c>
      <c r="P5" s="8" t="n">
        <v>781.96</v>
      </c>
      <c r="Q5" s="8" t="n">
        <v>738.86</v>
      </c>
      <c r="R5" s="8" t="n">
        <v>692.64</v>
      </c>
      <c r="S5" s="8" t="n">
        <v>643.0700000000001</v>
      </c>
      <c r="T5" s="8" t="n">
        <v>589.92</v>
      </c>
      <c r="U5" s="8" t="n">
        <v>532.92</v>
      </c>
      <c r="V5" s="8" t="n">
        <v>471.79</v>
      </c>
      <c r="W5" s="8" t="n">
        <v>406.23</v>
      </c>
      <c r="X5" s="8" t="n">
        <v>335.93</v>
      </c>
      <c r="Y5" s="8" t="n">
        <v>260.54</v>
      </c>
      <c r="Z5" s="8" t="n">
        <v>179.69</v>
      </c>
      <c r="AA5" s="8" t="n">
        <v>92.98</v>
      </c>
    </row>
    <row r="6">
      <c r="A6" s="4" t="inlineStr">
        <is>
          <t>Principal Payment ($)</t>
        </is>
      </c>
      <c r="B6" s="8" t="n">
        <v>0</v>
      </c>
      <c r="C6" s="8" t="n">
        <v>239.93</v>
      </c>
      <c r="D6" s="8" t="n">
        <v>257.31</v>
      </c>
      <c r="E6" s="8" t="n">
        <v>275.94</v>
      </c>
      <c r="F6" s="8" t="n">
        <v>295.91</v>
      </c>
      <c r="G6" s="8" t="n">
        <v>317.34</v>
      </c>
      <c r="H6" s="8" t="n">
        <v>340.31</v>
      </c>
      <c r="I6" s="8" t="n">
        <v>364.95</v>
      </c>
      <c r="J6" s="8" t="n">
        <v>391.37</v>
      </c>
      <c r="K6" s="8" t="n">
        <v>419.71</v>
      </c>
      <c r="L6" s="8" t="n">
        <v>450.1</v>
      </c>
      <c r="M6" s="8" t="n">
        <v>482.68</v>
      </c>
      <c r="N6" s="8" t="n">
        <v>517.63</v>
      </c>
      <c r="O6" s="8" t="n">
        <v>555.1</v>
      </c>
      <c r="P6" s="8" t="n">
        <v>595.29</v>
      </c>
      <c r="Q6" s="8" t="n">
        <v>638.39</v>
      </c>
      <c r="R6" s="8" t="n">
        <v>684.61</v>
      </c>
      <c r="S6" s="8" t="n">
        <v>734.1799999999999</v>
      </c>
      <c r="T6" s="8" t="n">
        <v>787.33</v>
      </c>
      <c r="U6" s="8" t="n">
        <v>844.34</v>
      </c>
      <c r="V6" s="8" t="n">
        <v>905.47</v>
      </c>
      <c r="W6" s="8" t="n">
        <v>971.02</v>
      </c>
      <c r="X6" s="8" t="n">
        <v>1041.32</v>
      </c>
      <c r="Y6" s="8" t="n">
        <v>1116.72</v>
      </c>
      <c r="Z6" s="8" t="n">
        <v>1197.57</v>
      </c>
      <c r="AA6" s="8" t="n">
        <v>1284.27</v>
      </c>
    </row>
    <row r="7">
      <c r="A7" s="4" t="inlineStr">
        <is>
          <t>Total P&amp;I Payment ($)</t>
        </is>
      </c>
      <c r="B7" s="8" t="n">
        <v>0</v>
      </c>
      <c r="C7" s="8" t="n">
        <v>1377.25</v>
      </c>
      <c r="D7" s="8" t="n">
        <v>1377.25</v>
      </c>
      <c r="E7" s="8" t="n">
        <v>1377.25</v>
      </c>
      <c r="F7" s="8" t="n">
        <v>1377.25</v>
      </c>
      <c r="G7" s="8" t="n">
        <v>1377.25</v>
      </c>
      <c r="H7" s="8" t="n">
        <v>1377.25</v>
      </c>
      <c r="I7" s="8" t="n">
        <v>1377.25</v>
      </c>
      <c r="J7" s="8" t="n">
        <v>1377.25</v>
      </c>
      <c r="K7" s="8" t="n">
        <v>1377.25</v>
      </c>
      <c r="L7" s="8" t="n">
        <v>1377.25</v>
      </c>
      <c r="M7" s="8" t="n">
        <v>1377.25</v>
      </c>
      <c r="N7" s="8" t="n">
        <v>1377.25</v>
      </c>
      <c r="O7" s="8" t="n">
        <v>1377.25</v>
      </c>
      <c r="P7" s="8" t="n">
        <v>1377.25</v>
      </c>
      <c r="Q7" s="8" t="n">
        <v>1377.25</v>
      </c>
      <c r="R7" s="8" t="n">
        <v>1377.25</v>
      </c>
      <c r="S7" s="8" t="n">
        <v>1377.25</v>
      </c>
      <c r="T7" s="8" t="n">
        <v>1377.25</v>
      </c>
      <c r="U7" s="8" t="n">
        <v>1377.25</v>
      </c>
      <c r="V7" s="8" t="n">
        <v>1377.25</v>
      </c>
      <c r="W7" s="8" t="n">
        <v>1377.25</v>
      </c>
      <c r="X7" s="8" t="n">
        <v>1377.25</v>
      </c>
      <c r="Y7" s="8" t="n">
        <v>1377.25</v>
      </c>
      <c r="Z7" s="8" t="n">
        <v>1377.25</v>
      </c>
      <c r="AA7" s="8" t="n">
        <v>1377.25</v>
      </c>
    </row>
    <row r="8">
      <c r="A8" s="4" t="inlineStr">
        <is>
          <t>Bill w/o System ($)</t>
        </is>
      </c>
      <c r="B8" s="8" t="n">
        <v>0</v>
      </c>
      <c r="C8" s="8" t="n">
        <v>3303.02</v>
      </c>
      <c r="D8" s="8" t="n">
        <v>3385.6</v>
      </c>
      <c r="E8" s="8" t="n">
        <v>3470.24</v>
      </c>
      <c r="F8" s="8" t="n">
        <v>3556.99</v>
      </c>
      <c r="G8" s="8" t="n">
        <v>3645.92</v>
      </c>
      <c r="H8" s="8" t="n">
        <v>3737.06</v>
      </c>
      <c r="I8" s="8" t="n">
        <v>3830.49</v>
      </c>
      <c r="J8" s="8" t="n">
        <v>3926.25</v>
      </c>
      <c r="K8" s="8" t="n">
        <v>4024.41</v>
      </c>
      <c r="L8" s="8" t="n">
        <v>4125.02</v>
      </c>
      <c r="M8" s="8" t="n">
        <v>4228.14</v>
      </c>
      <c r="N8" s="8" t="n">
        <v>4333.85</v>
      </c>
      <c r="O8" s="8" t="n">
        <v>4442.19</v>
      </c>
      <c r="P8" s="8" t="n">
        <v>4553.25</v>
      </c>
      <c r="Q8" s="8" t="n">
        <v>4667.08</v>
      </c>
      <c r="R8" s="8" t="n">
        <v>4783.76</v>
      </c>
      <c r="S8" s="8" t="n">
        <v>4903.35</v>
      </c>
      <c r="T8" s="8" t="n">
        <v>5025.94</v>
      </c>
      <c r="U8" s="8" t="n">
        <v>5151.58</v>
      </c>
      <c r="V8" s="8" t="n">
        <v>5280.37</v>
      </c>
      <c r="W8" s="8" t="n">
        <v>5412.38</v>
      </c>
      <c r="X8" s="8" t="n">
        <v>5547.69</v>
      </c>
      <c r="Y8" s="8" t="n">
        <v>5686.38</v>
      </c>
      <c r="Z8" s="8" t="n">
        <v>5828.54</v>
      </c>
      <c r="AA8" s="8" t="n">
        <v>5974.26</v>
      </c>
    </row>
    <row r="9">
      <c r="A9" s="4" t="inlineStr">
        <is>
          <t>Bill w/ System ($)</t>
        </is>
      </c>
      <c r="B9" s="8" t="n">
        <v>0</v>
      </c>
      <c r="C9" s="8" t="n">
        <v>1215.34</v>
      </c>
      <c r="D9" s="8" t="n">
        <v>1245.72</v>
      </c>
      <c r="E9" s="8" t="n">
        <v>1276.87</v>
      </c>
      <c r="F9" s="8" t="n">
        <v>1308.79</v>
      </c>
      <c r="G9" s="8" t="n">
        <v>1341.51</v>
      </c>
      <c r="H9" s="8" t="n">
        <v>1375.05</v>
      </c>
      <c r="I9" s="8" t="n">
        <v>1409.42</v>
      </c>
      <c r="J9" s="8" t="n">
        <v>1444.66</v>
      </c>
      <c r="K9" s="8" t="n">
        <v>1480.77</v>
      </c>
      <c r="L9" s="8" t="n">
        <v>1517.79</v>
      </c>
      <c r="M9" s="8" t="n">
        <v>1555.74</v>
      </c>
      <c r="N9" s="8" t="n">
        <v>1594.63</v>
      </c>
      <c r="O9" s="8" t="n">
        <v>1634.5</v>
      </c>
      <c r="P9" s="8" t="n">
        <v>1675.36</v>
      </c>
      <c r="Q9" s="8" t="n">
        <v>1717.24</v>
      </c>
      <c r="R9" s="8" t="n">
        <v>1760.17</v>
      </c>
      <c r="S9" s="8" t="n">
        <v>1804.18</v>
      </c>
      <c r="T9" s="8" t="n">
        <v>1849.28</v>
      </c>
      <c r="U9" s="8" t="n">
        <v>1895.52</v>
      </c>
      <c r="V9" s="8" t="n">
        <v>1942.9</v>
      </c>
      <c r="W9" s="8" t="n">
        <v>1991.48</v>
      </c>
      <c r="X9" s="8" t="n">
        <v>2041.26</v>
      </c>
      <c r="Y9" s="8" t="n">
        <v>2092.29</v>
      </c>
      <c r="Z9" s="8" t="n">
        <v>2144.6</v>
      </c>
      <c r="AA9" s="8" t="n">
        <v>2198.22</v>
      </c>
    </row>
    <row r="10">
      <c r="A10" s="4" t="inlineStr">
        <is>
          <t>Bill Savings ($)</t>
        </is>
      </c>
      <c r="B10" s="8" t="n">
        <v>0</v>
      </c>
      <c r="C10" s="8" t="n">
        <v>2087.68</v>
      </c>
      <c r="D10" s="8" t="n">
        <v>2087.68</v>
      </c>
      <c r="E10" s="8" t="n">
        <v>2087.68</v>
      </c>
      <c r="F10" s="8" t="n">
        <v>2087.68</v>
      </c>
      <c r="G10" s="8" t="n">
        <v>2087.68</v>
      </c>
      <c r="H10" s="8" t="n">
        <v>2087.68</v>
      </c>
      <c r="I10" s="8" t="n">
        <v>2087.68</v>
      </c>
      <c r="J10" s="8" t="n">
        <v>2087.68</v>
      </c>
      <c r="K10" s="8" t="n">
        <v>2087.68</v>
      </c>
      <c r="L10" s="8" t="n">
        <v>2087.68</v>
      </c>
      <c r="M10" s="8" t="n">
        <v>2087.68</v>
      </c>
      <c r="N10" s="8" t="n">
        <v>2087.68</v>
      </c>
      <c r="O10" s="8" t="n">
        <v>2087.68</v>
      </c>
      <c r="P10" s="8" t="n">
        <v>2087.68</v>
      </c>
      <c r="Q10" s="8" t="n">
        <v>2087.68</v>
      </c>
      <c r="R10" s="8" t="n">
        <v>2087.68</v>
      </c>
      <c r="S10" s="8" t="n">
        <v>2087.68</v>
      </c>
      <c r="T10" s="8" t="n">
        <v>2087.68</v>
      </c>
      <c r="U10" s="8" t="n">
        <v>2087.68</v>
      </c>
      <c r="V10" s="8" t="n">
        <v>2087.68</v>
      </c>
      <c r="W10" s="8" t="n">
        <v>2087.68</v>
      </c>
      <c r="X10" s="8" t="n">
        <v>2087.68</v>
      </c>
      <c r="Y10" s="8" t="n">
        <v>2087.68</v>
      </c>
      <c r="Z10" s="8" t="n">
        <v>2087.68</v>
      </c>
      <c r="AA10" s="8" t="n">
        <v>2087.68</v>
      </c>
    </row>
    <row r="11">
      <c r="A11" s="4" t="inlineStr">
        <is>
          <t>Escalated Bill Savings ($)</t>
        </is>
      </c>
      <c r="B11" s="8" t="n">
        <v>0</v>
      </c>
      <c r="C11" s="8" t="n">
        <v>2087.68</v>
      </c>
      <c r="D11" s="8" t="n">
        <v>2139.87</v>
      </c>
      <c r="E11" s="8" t="n">
        <v>2193.37</v>
      </c>
      <c r="F11" s="8" t="n">
        <v>2248.2</v>
      </c>
      <c r="G11" s="8" t="n">
        <v>2304.41</v>
      </c>
      <c r="H11" s="8" t="n">
        <v>2362.02</v>
      </c>
      <c r="I11" s="8" t="n">
        <v>2421.07</v>
      </c>
      <c r="J11" s="8" t="n">
        <v>2481.6</v>
      </c>
      <c r="K11" s="8" t="n">
        <v>2543.64</v>
      </c>
      <c r="L11" s="8" t="n">
        <v>2607.23</v>
      </c>
      <c r="M11" s="8" t="n">
        <v>2672.41</v>
      </c>
      <c r="N11" s="8" t="n">
        <v>2739.22</v>
      </c>
      <c r="O11" s="8" t="n">
        <v>2807.7</v>
      </c>
      <c r="P11" s="8" t="n">
        <v>2877.89</v>
      </c>
      <c r="Q11" s="8" t="n">
        <v>2949.84</v>
      </c>
      <c r="R11" s="8" t="n">
        <v>3023.58</v>
      </c>
      <c r="S11" s="8" t="n">
        <v>3099.17</v>
      </c>
      <c r="T11" s="8" t="n">
        <v>3176.65</v>
      </c>
      <c r="U11" s="8" t="n">
        <v>3256.07</v>
      </c>
      <c r="V11" s="8" t="n">
        <v>3337.47</v>
      </c>
      <c r="W11" s="8" t="n">
        <v>3420.91</v>
      </c>
      <c r="X11" s="8" t="n">
        <v>3506.43</v>
      </c>
      <c r="Y11" s="8" t="n">
        <v>3594.09</v>
      </c>
      <c r="Z11" s="8" t="n">
        <v>3683.94</v>
      </c>
      <c r="AA11" s="8" t="n">
        <v>3776.04</v>
      </c>
    </row>
    <row r="12">
      <c r="A12" s="4" t="inlineStr">
        <is>
          <t>SMART Annual ($)</t>
        </is>
      </c>
      <c r="B12" s="8" t="n">
        <v>0</v>
      </c>
      <c r="C12" s="8" t="n">
        <v>347.64</v>
      </c>
      <c r="D12" s="8" t="n">
        <v>347.64</v>
      </c>
      <c r="E12" s="8" t="n">
        <v>347.64</v>
      </c>
      <c r="F12" s="8" t="n">
        <v>347.64</v>
      </c>
      <c r="G12" s="8" t="n">
        <v>347.64</v>
      </c>
      <c r="H12" s="8" t="n">
        <v>347.64</v>
      </c>
      <c r="I12" s="8" t="n">
        <v>347.64</v>
      </c>
      <c r="J12" s="8" t="n">
        <v>347.64</v>
      </c>
      <c r="K12" s="8" t="n">
        <v>347.64</v>
      </c>
      <c r="L12" s="8" t="n">
        <v>347.64</v>
      </c>
      <c r="M12" s="8" t="n">
        <v>347.64</v>
      </c>
      <c r="N12" s="8" t="n">
        <v>347.64</v>
      </c>
      <c r="O12" s="8" t="n">
        <v>347.64</v>
      </c>
      <c r="P12" s="8" t="n">
        <v>347.64</v>
      </c>
      <c r="Q12" s="8" t="n">
        <v>347.64</v>
      </c>
      <c r="R12" s="8" t="n">
        <v>347.64</v>
      </c>
      <c r="S12" s="8" t="n">
        <v>347.64</v>
      </c>
      <c r="T12" s="8" t="n">
        <v>347.64</v>
      </c>
      <c r="U12" s="8" t="n">
        <v>347.64</v>
      </c>
      <c r="V12" s="8" t="n">
        <v>347.64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</row>
    <row r="13">
      <c r="A13" s="4" t="inlineStr">
        <is>
          <t>ConnectedSolutions ($)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</row>
    <row r="14">
      <c r="A14" s="4" t="inlineStr">
        <is>
          <t>Total Incentive Annual ($)</t>
        </is>
      </c>
      <c r="B14" s="8" t="n">
        <v>0</v>
      </c>
      <c r="C14" s="8" t="n">
        <v>347.64</v>
      </c>
      <c r="D14" s="8" t="n">
        <v>347.64</v>
      </c>
      <c r="E14" s="8" t="n">
        <v>347.64</v>
      </c>
      <c r="F14" s="8" t="n">
        <v>347.64</v>
      </c>
      <c r="G14" s="8" t="n">
        <v>347.64</v>
      </c>
      <c r="H14" s="8" t="n">
        <v>347.64</v>
      </c>
      <c r="I14" s="8" t="n">
        <v>347.64</v>
      </c>
      <c r="J14" s="8" t="n">
        <v>347.64</v>
      </c>
      <c r="K14" s="8" t="n">
        <v>347.64</v>
      </c>
      <c r="L14" s="8" t="n">
        <v>347.64</v>
      </c>
      <c r="M14" s="8" t="n">
        <v>347.64</v>
      </c>
      <c r="N14" s="8" t="n">
        <v>347.64</v>
      </c>
      <c r="O14" s="8" t="n">
        <v>347.64</v>
      </c>
      <c r="P14" s="8" t="n">
        <v>347.64</v>
      </c>
      <c r="Q14" s="8" t="n">
        <v>347.64</v>
      </c>
      <c r="R14" s="8" t="n">
        <v>347.64</v>
      </c>
      <c r="S14" s="8" t="n">
        <v>347.64</v>
      </c>
      <c r="T14" s="8" t="n">
        <v>347.64</v>
      </c>
      <c r="U14" s="8" t="n">
        <v>347.64</v>
      </c>
      <c r="V14" s="8" t="n">
        <v>347.64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</row>
    <row r="15">
      <c r="A15" s="11" t="inlineStr">
        <is>
          <t>Simple Payback (yr)</t>
        </is>
      </c>
      <c r="B15" s="14">
        <f>IF((C10+C11)&gt;0,B4/(C10+C11),"N/A")</f>
        <v/>
      </c>
      <c r="C15" s="8" t="n">
        <v>2435.32</v>
      </c>
      <c r="D15" s="8" t="n">
        <v>2487.51</v>
      </c>
      <c r="E15" s="8" t="n">
        <v>2541.01</v>
      </c>
      <c r="F15" s="8" t="n">
        <v>2595.84</v>
      </c>
      <c r="G15" s="8" t="n">
        <v>2652.05</v>
      </c>
      <c r="H15" s="8" t="n">
        <v>2709.66</v>
      </c>
      <c r="I15" s="8" t="n">
        <v>2768.71</v>
      </c>
      <c r="J15" s="8" t="n">
        <v>2829.24</v>
      </c>
      <c r="K15" s="8" t="n">
        <v>2891.28</v>
      </c>
      <c r="L15" s="8" t="n">
        <v>2954.87</v>
      </c>
      <c r="M15" s="8" t="n">
        <v>3020.05</v>
      </c>
      <c r="N15" s="8" t="n">
        <v>3086.86</v>
      </c>
      <c r="O15" s="8" t="n">
        <v>3155.34</v>
      </c>
      <c r="P15" s="8" t="n">
        <v>3225.53</v>
      </c>
      <c r="Q15" s="8" t="n">
        <v>3297.48</v>
      </c>
      <c r="R15" s="8" t="n">
        <v>3371.22</v>
      </c>
      <c r="S15" s="8" t="n">
        <v>3446.81</v>
      </c>
      <c r="T15" s="8" t="n">
        <v>3524.29</v>
      </c>
      <c r="U15" s="8" t="n">
        <v>3603.71</v>
      </c>
      <c r="V15" s="8" t="n">
        <v>3685.11</v>
      </c>
      <c r="W15" s="8" t="n">
        <v>3420.91</v>
      </c>
      <c r="X15" s="8" t="n">
        <v>3506.43</v>
      </c>
      <c r="Y15" s="8" t="n">
        <v>3594.09</v>
      </c>
      <c r="Z15" s="8" t="n">
        <v>3683.94</v>
      </c>
      <c r="AA15" s="8" t="n">
        <v>3776.04</v>
      </c>
    </row>
    <row r="16">
      <c r="A16" s="11" t="inlineStr">
        <is>
          <t>NPV Breakeven Year</t>
        </is>
      </c>
      <c r="B16" s="15" t="inlineStr">
        <is>
          <t>See Cumulative NPV row 14 for first year ≥ 0</t>
        </is>
      </c>
      <c r="C16" s="12" t="n">
        <v>1058.07</v>
      </c>
      <c r="D16" s="12" t="n">
        <v>1110.26</v>
      </c>
      <c r="E16" s="12" t="n">
        <v>1163.76</v>
      </c>
      <c r="F16" s="12" t="n">
        <v>1218.59</v>
      </c>
      <c r="G16" s="12" t="n">
        <v>1274.8</v>
      </c>
      <c r="H16" s="12" t="n">
        <v>1332.41</v>
      </c>
      <c r="I16" s="12" t="n">
        <v>1391.46</v>
      </c>
      <c r="J16" s="12" t="n">
        <v>1451.98</v>
      </c>
      <c r="K16" s="12" t="n">
        <v>1514.02</v>
      </c>
      <c r="L16" s="12" t="n">
        <v>1577.61</v>
      </c>
      <c r="M16" s="12" t="n">
        <v>1642.79</v>
      </c>
      <c r="N16" s="12" t="n">
        <v>1709.61</v>
      </c>
      <c r="O16" s="12" t="n">
        <v>1778.09</v>
      </c>
      <c r="P16" s="12" t="n">
        <v>1848.28</v>
      </c>
      <c r="Q16" s="12" t="n">
        <v>1920.23</v>
      </c>
      <c r="R16" s="12" t="n">
        <v>1993.97</v>
      </c>
      <c r="S16" s="12" t="n">
        <v>2069.56</v>
      </c>
      <c r="T16" s="12" t="n">
        <v>2147.04</v>
      </c>
      <c r="U16" s="12" t="n">
        <v>2226.46</v>
      </c>
      <c r="V16" s="12" t="n">
        <v>2307.86</v>
      </c>
      <c r="W16" s="12" t="n">
        <v>2043.65</v>
      </c>
      <c r="X16" s="12" t="n">
        <v>2129.18</v>
      </c>
      <c r="Y16" s="12" t="n">
        <v>2216.84</v>
      </c>
      <c r="Z16" s="12" t="n">
        <v>2306.69</v>
      </c>
      <c r="AA16" s="12" t="n">
        <v>2398.79</v>
      </c>
    </row>
    <row r="17">
      <c r="A17" s="4" t="inlineStr">
        <is>
          <t>Discounted Net Savings ($)</t>
        </is>
      </c>
      <c r="B17" s="8" t="n">
        <v>0</v>
      </c>
      <c r="C17" s="8" t="n">
        <v>994.42</v>
      </c>
      <c r="D17" s="8" t="n">
        <v>980.71</v>
      </c>
      <c r="E17" s="8" t="n">
        <v>966.13</v>
      </c>
      <c r="F17" s="8" t="n">
        <v>950.8099999999999</v>
      </c>
      <c r="G17" s="8" t="n">
        <v>934.83</v>
      </c>
      <c r="H17" s="8" t="n">
        <v>918.3</v>
      </c>
      <c r="I17" s="8" t="n">
        <v>901.3200000000001</v>
      </c>
      <c r="J17" s="8" t="n">
        <v>883.95</v>
      </c>
      <c r="K17" s="8" t="n">
        <v>866.28</v>
      </c>
      <c r="L17" s="8" t="n">
        <v>848.37</v>
      </c>
      <c r="M17" s="8" t="n">
        <v>830.28</v>
      </c>
      <c r="N17" s="8" t="n">
        <v>812.08</v>
      </c>
      <c r="O17" s="8" t="n">
        <v>793.8</v>
      </c>
      <c r="P17" s="8" t="n">
        <v>775.5</v>
      </c>
      <c r="Q17" s="8" t="n">
        <v>757.23</v>
      </c>
      <c r="R17" s="8" t="n">
        <v>739.01</v>
      </c>
      <c r="S17" s="8" t="n">
        <v>720.89</v>
      </c>
      <c r="T17" s="8" t="n">
        <v>702.9</v>
      </c>
      <c r="U17" s="8" t="n">
        <v>685.05</v>
      </c>
      <c r="V17" s="8" t="n">
        <v>667.39</v>
      </c>
      <c r="W17" s="8" t="n">
        <v>555.4400000000001</v>
      </c>
      <c r="X17" s="8" t="n">
        <v>543.87</v>
      </c>
      <c r="Y17" s="8" t="n">
        <v>532.2</v>
      </c>
      <c r="Z17" s="8" t="n">
        <v>520.46</v>
      </c>
      <c r="AA17" s="8" t="n">
        <v>508.69</v>
      </c>
    </row>
    <row r="18">
      <c r="A18" s="4" t="inlineStr">
        <is>
          <t>Cumulative NPV ($)</t>
        </is>
      </c>
      <c r="B18" s="8" t="n">
        <v>0</v>
      </c>
      <c r="C18" s="8" t="n">
        <v>994.42</v>
      </c>
      <c r="D18" s="8" t="n">
        <v>1975.14</v>
      </c>
      <c r="E18" s="8" t="n">
        <v>2941.27</v>
      </c>
      <c r="F18" s="8" t="n">
        <v>3892.08</v>
      </c>
      <c r="G18" s="8" t="n">
        <v>4826.91</v>
      </c>
      <c r="H18" s="8" t="n">
        <v>5745.21</v>
      </c>
      <c r="I18" s="8" t="n">
        <v>6646.53</v>
      </c>
      <c r="J18" s="8" t="n">
        <v>7530.48</v>
      </c>
      <c r="K18" s="8" t="n">
        <v>8396.76</v>
      </c>
      <c r="L18" s="8" t="n">
        <v>9245.129999999999</v>
      </c>
      <c r="M18" s="8" t="n">
        <v>10075.41</v>
      </c>
      <c r="N18" s="8" t="n">
        <v>10887.49</v>
      </c>
      <c r="O18" s="8" t="n">
        <v>11681.29</v>
      </c>
      <c r="P18" s="8" t="n">
        <v>12456.79</v>
      </c>
      <c r="Q18" s="8" t="n">
        <v>13214.02</v>
      </c>
      <c r="R18" s="8" t="n">
        <v>13953.04</v>
      </c>
      <c r="S18" s="8" t="n">
        <v>14673.93</v>
      </c>
      <c r="T18" s="8" t="n">
        <v>15376.82</v>
      </c>
      <c r="U18" s="8" t="n">
        <v>16061.88</v>
      </c>
      <c r="V18" s="8" t="n">
        <v>16729.26</v>
      </c>
      <c r="W18" s="8" t="n">
        <v>17284.7</v>
      </c>
      <c r="X18" s="8" t="n">
        <v>17828.57</v>
      </c>
      <c r="Y18" s="8" t="n">
        <v>18360.77</v>
      </c>
      <c r="Z18" s="8" t="n">
        <v>18881.23</v>
      </c>
      <c r="AA18" s="8" t="n">
        <v>19389.92</v>
      </c>
    </row>
    <row r="19"/>
    <row r="20"/>
    <row r="21">
      <c r="A21" s="10" t="inlineStr">
        <is>
          <t>NGrid Solar — No Incentives</t>
        </is>
      </c>
    </row>
    <row r="22">
      <c r="A22" s="2" t="inlineStr">
        <is>
          <t>Debt: $16,709 | PMT: $1,465/yr | Bill Savings Y1: $2,088</t>
        </is>
      </c>
    </row>
    <row r="23">
      <c r="A23" s="11" t="inlineStr">
        <is>
          <t>Year</t>
        </is>
      </c>
      <c r="B23" s="11" t="n">
        <v>0</v>
      </c>
      <c r="C23" s="11" t="n">
        <v>1</v>
      </c>
      <c r="D23" s="11" t="n">
        <v>2</v>
      </c>
      <c r="E23" s="11" t="n">
        <v>3</v>
      </c>
      <c r="F23" s="11" t="n">
        <v>4</v>
      </c>
      <c r="G23" s="11" t="n">
        <v>5</v>
      </c>
      <c r="H23" s="11" t="n">
        <v>6</v>
      </c>
      <c r="I23" s="11" t="n">
        <v>7</v>
      </c>
      <c r="J23" s="11" t="n">
        <v>8</v>
      </c>
      <c r="K23" s="11" t="n">
        <v>9</v>
      </c>
      <c r="L23" s="11" t="n">
        <v>10</v>
      </c>
      <c r="M23" s="11" t="n">
        <v>11</v>
      </c>
      <c r="N23" s="11" t="n">
        <v>12</v>
      </c>
      <c r="O23" s="11" t="n">
        <v>13</v>
      </c>
      <c r="P23" s="11" t="n">
        <v>14</v>
      </c>
      <c r="Q23" s="11" t="n">
        <v>15</v>
      </c>
      <c r="R23" s="11" t="n">
        <v>16</v>
      </c>
      <c r="S23" s="11" t="n">
        <v>17</v>
      </c>
      <c r="T23" s="11" t="n">
        <v>18</v>
      </c>
      <c r="U23" s="11" t="n">
        <v>19</v>
      </c>
      <c r="V23" s="11" t="n">
        <v>20</v>
      </c>
      <c r="W23" s="11" t="n">
        <v>21</v>
      </c>
      <c r="X23" s="11" t="n">
        <v>22</v>
      </c>
      <c r="Y23" s="11" t="n">
        <v>23</v>
      </c>
      <c r="Z23" s="11" t="n">
        <v>24</v>
      </c>
      <c r="AA23" s="11" t="n">
        <v>25</v>
      </c>
    </row>
    <row r="24">
      <c r="A24" s="4" t="inlineStr">
        <is>
          <t>Debt Balance ($)</t>
        </is>
      </c>
      <c r="B24" s="8" t="n">
        <v>16708.8</v>
      </c>
      <c r="C24" s="8" t="n">
        <v>16453.59</v>
      </c>
      <c r="D24" s="8" t="n">
        <v>16179.91</v>
      </c>
      <c r="E24" s="8" t="n">
        <v>15886.4</v>
      </c>
      <c r="F24" s="8" t="n">
        <v>15571.65</v>
      </c>
      <c r="G24" s="8" t="n">
        <v>15234.12</v>
      </c>
      <c r="H24" s="8" t="n">
        <v>14872.14</v>
      </c>
      <c r="I24" s="8" t="n">
        <v>14483.96</v>
      </c>
      <c r="J24" s="8" t="n">
        <v>14067.67</v>
      </c>
      <c r="K24" s="8" t="n">
        <v>13621.24</v>
      </c>
      <c r="L24" s="8" t="n">
        <v>13142.5</v>
      </c>
      <c r="M24" s="8" t="n">
        <v>12629.09</v>
      </c>
      <c r="N24" s="8" t="n">
        <v>12078.51</v>
      </c>
      <c r="O24" s="8" t="n">
        <v>11488.07</v>
      </c>
      <c r="P24" s="8" t="n">
        <v>10854.88</v>
      </c>
      <c r="Q24" s="8" t="n">
        <v>10175.84</v>
      </c>
      <c r="R24" s="8" t="n">
        <v>9447.65</v>
      </c>
      <c r="S24" s="8" t="n">
        <v>8666.73</v>
      </c>
      <c r="T24" s="8" t="n">
        <v>7829.28</v>
      </c>
      <c r="U24" s="8" t="n">
        <v>6931.19</v>
      </c>
      <c r="V24" s="8" t="n">
        <v>5968.08</v>
      </c>
      <c r="W24" s="8" t="n">
        <v>4935.25</v>
      </c>
      <c r="X24" s="8" t="n">
        <v>3827.63</v>
      </c>
      <c r="Y24" s="8" t="n">
        <v>2639.83</v>
      </c>
      <c r="Z24" s="8" t="n">
        <v>1366.03</v>
      </c>
      <c r="AA24" s="8" t="n">
        <v>0</v>
      </c>
    </row>
    <row r="25">
      <c r="A25" s="4" t="inlineStr">
        <is>
          <t>Interest Payment ($)</t>
        </is>
      </c>
      <c r="B25" s="8" t="n">
        <v>0</v>
      </c>
      <c r="C25" s="8" t="n">
        <v>1209.72</v>
      </c>
      <c r="D25" s="8" t="n">
        <v>1191.24</v>
      </c>
      <c r="E25" s="8" t="n">
        <v>1171.43</v>
      </c>
      <c r="F25" s="8" t="n">
        <v>1150.18</v>
      </c>
      <c r="G25" s="8" t="n">
        <v>1127.39</v>
      </c>
      <c r="H25" s="8" t="n">
        <v>1102.95</v>
      </c>
      <c r="I25" s="8" t="n">
        <v>1076.74</v>
      </c>
      <c r="J25" s="8" t="n">
        <v>1048.64</v>
      </c>
      <c r="K25" s="8" t="n">
        <v>1018.5</v>
      </c>
      <c r="L25" s="8" t="n">
        <v>986.1799999999999</v>
      </c>
      <c r="M25" s="8" t="n">
        <v>951.52</v>
      </c>
      <c r="N25" s="8" t="n">
        <v>914.35</v>
      </c>
      <c r="O25" s="8" t="n">
        <v>874.48</v>
      </c>
      <c r="P25" s="8" t="n">
        <v>831.74</v>
      </c>
      <c r="Q25" s="8" t="n">
        <v>785.89</v>
      </c>
      <c r="R25" s="8" t="n">
        <v>736.73</v>
      </c>
      <c r="S25" s="8" t="n">
        <v>684.01</v>
      </c>
      <c r="T25" s="8" t="n">
        <v>627.47</v>
      </c>
      <c r="U25" s="8" t="n">
        <v>566.84</v>
      </c>
      <c r="V25" s="8" t="n">
        <v>501.82</v>
      </c>
      <c r="W25" s="8" t="n">
        <v>432.09</v>
      </c>
      <c r="X25" s="8" t="n">
        <v>357.31</v>
      </c>
      <c r="Y25" s="8" t="n">
        <v>277.12</v>
      </c>
      <c r="Z25" s="8" t="n">
        <v>191.12</v>
      </c>
      <c r="AA25" s="8" t="n">
        <v>98.90000000000001</v>
      </c>
    </row>
    <row r="26">
      <c r="A26" s="4" t="inlineStr">
        <is>
          <t>Principal Payment ($)</t>
        </is>
      </c>
      <c r="B26" s="8" t="n">
        <v>0</v>
      </c>
      <c r="C26" s="8" t="n">
        <v>255.21</v>
      </c>
      <c r="D26" s="8" t="n">
        <v>273.69</v>
      </c>
      <c r="E26" s="8" t="n">
        <v>293.5</v>
      </c>
      <c r="F26" s="8" t="n">
        <v>314.75</v>
      </c>
      <c r="G26" s="8" t="n">
        <v>337.54</v>
      </c>
      <c r="H26" s="8" t="n">
        <v>361.98</v>
      </c>
      <c r="I26" s="8" t="n">
        <v>388.18</v>
      </c>
      <c r="J26" s="8" t="n">
        <v>416.29</v>
      </c>
      <c r="K26" s="8" t="n">
        <v>446.43</v>
      </c>
      <c r="L26" s="8" t="n">
        <v>478.75</v>
      </c>
      <c r="M26" s="8" t="n">
        <v>513.41</v>
      </c>
      <c r="N26" s="8" t="n">
        <v>550.58</v>
      </c>
      <c r="O26" s="8" t="n">
        <v>590.4400000000001</v>
      </c>
      <c r="P26" s="8" t="n">
        <v>633.1900000000001</v>
      </c>
      <c r="Q26" s="8" t="n">
        <v>679.03</v>
      </c>
      <c r="R26" s="8" t="n">
        <v>728.1900000000001</v>
      </c>
      <c r="S26" s="8" t="n">
        <v>780.92</v>
      </c>
      <c r="T26" s="8" t="n">
        <v>837.45</v>
      </c>
      <c r="U26" s="8" t="n">
        <v>898.09</v>
      </c>
      <c r="V26" s="8" t="n">
        <v>963.11</v>
      </c>
      <c r="W26" s="8" t="n">
        <v>1032.84</v>
      </c>
      <c r="X26" s="8" t="n">
        <v>1107.61</v>
      </c>
      <c r="Y26" s="8" t="n">
        <v>1187.81</v>
      </c>
      <c r="Z26" s="8" t="n">
        <v>1273.8</v>
      </c>
      <c r="AA26" s="8" t="n">
        <v>1366.03</v>
      </c>
    </row>
    <row r="27">
      <c r="A27" s="4" t="inlineStr">
        <is>
          <t>Total P&amp;I Payment ($)</t>
        </is>
      </c>
      <c r="B27" s="8" t="n">
        <v>0</v>
      </c>
      <c r="C27" s="8" t="n">
        <v>1464.93</v>
      </c>
      <c r="D27" s="8" t="n">
        <v>1464.93</v>
      </c>
      <c r="E27" s="8" t="n">
        <v>1464.93</v>
      </c>
      <c r="F27" s="8" t="n">
        <v>1464.93</v>
      </c>
      <c r="G27" s="8" t="n">
        <v>1464.93</v>
      </c>
      <c r="H27" s="8" t="n">
        <v>1464.93</v>
      </c>
      <c r="I27" s="8" t="n">
        <v>1464.93</v>
      </c>
      <c r="J27" s="8" t="n">
        <v>1464.93</v>
      </c>
      <c r="K27" s="8" t="n">
        <v>1464.93</v>
      </c>
      <c r="L27" s="8" t="n">
        <v>1464.93</v>
      </c>
      <c r="M27" s="8" t="n">
        <v>1464.93</v>
      </c>
      <c r="N27" s="8" t="n">
        <v>1464.93</v>
      </c>
      <c r="O27" s="8" t="n">
        <v>1464.93</v>
      </c>
      <c r="P27" s="8" t="n">
        <v>1464.93</v>
      </c>
      <c r="Q27" s="8" t="n">
        <v>1464.93</v>
      </c>
      <c r="R27" s="8" t="n">
        <v>1464.93</v>
      </c>
      <c r="S27" s="8" t="n">
        <v>1464.93</v>
      </c>
      <c r="T27" s="8" t="n">
        <v>1464.93</v>
      </c>
      <c r="U27" s="8" t="n">
        <v>1464.93</v>
      </c>
      <c r="V27" s="8" t="n">
        <v>1464.93</v>
      </c>
      <c r="W27" s="8" t="n">
        <v>1464.93</v>
      </c>
      <c r="X27" s="8" t="n">
        <v>1464.93</v>
      </c>
      <c r="Y27" s="8" t="n">
        <v>1464.93</v>
      </c>
      <c r="Z27" s="8" t="n">
        <v>1464.93</v>
      </c>
      <c r="AA27" s="8" t="n">
        <v>1464.93</v>
      </c>
    </row>
    <row r="28">
      <c r="A28" s="4" t="inlineStr">
        <is>
          <t>Bill w/o System ($)</t>
        </is>
      </c>
      <c r="B28" s="8" t="n">
        <v>0</v>
      </c>
      <c r="C28" s="8" t="n">
        <v>3303.02</v>
      </c>
      <c r="D28" s="8" t="n">
        <v>3385.6</v>
      </c>
      <c r="E28" s="8" t="n">
        <v>3470.24</v>
      </c>
      <c r="F28" s="8" t="n">
        <v>3556.99</v>
      </c>
      <c r="G28" s="8" t="n">
        <v>3645.92</v>
      </c>
      <c r="H28" s="8" t="n">
        <v>3737.06</v>
      </c>
      <c r="I28" s="8" t="n">
        <v>3830.49</v>
      </c>
      <c r="J28" s="8" t="n">
        <v>3926.25</v>
      </c>
      <c r="K28" s="8" t="n">
        <v>4024.41</v>
      </c>
      <c r="L28" s="8" t="n">
        <v>4125.02</v>
      </c>
      <c r="M28" s="8" t="n">
        <v>4228.14</v>
      </c>
      <c r="N28" s="8" t="n">
        <v>4333.85</v>
      </c>
      <c r="O28" s="8" t="n">
        <v>4442.19</v>
      </c>
      <c r="P28" s="8" t="n">
        <v>4553.25</v>
      </c>
      <c r="Q28" s="8" t="n">
        <v>4667.08</v>
      </c>
      <c r="R28" s="8" t="n">
        <v>4783.76</v>
      </c>
      <c r="S28" s="8" t="n">
        <v>4903.35</v>
      </c>
      <c r="T28" s="8" t="n">
        <v>5025.94</v>
      </c>
      <c r="U28" s="8" t="n">
        <v>5151.58</v>
      </c>
      <c r="V28" s="8" t="n">
        <v>5280.37</v>
      </c>
      <c r="W28" s="8" t="n">
        <v>5412.38</v>
      </c>
      <c r="X28" s="8" t="n">
        <v>5547.69</v>
      </c>
      <c r="Y28" s="8" t="n">
        <v>5686.38</v>
      </c>
      <c r="Z28" s="8" t="n">
        <v>5828.54</v>
      </c>
      <c r="AA28" s="8" t="n">
        <v>5974.26</v>
      </c>
    </row>
    <row r="29">
      <c r="A29" s="4" t="inlineStr">
        <is>
          <t>Bill w/ System ($)</t>
        </is>
      </c>
      <c r="B29" s="8" t="n">
        <v>0</v>
      </c>
      <c r="C29" s="8" t="n">
        <v>1215.34</v>
      </c>
      <c r="D29" s="8" t="n">
        <v>1245.72</v>
      </c>
      <c r="E29" s="8" t="n">
        <v>1276.87</v>
      </c>
      <c r="F29" s="8" t="n">
        <v>1308.79</v>
      </c>
      <c r="G29" s="8" t="n">
        <v>1341.51</v>
      </c>
      <c r="H29" s="8" t="n">
        <v>1375.05</v>
      </c>
      <c r="I29" s="8" t="n">
        <v>1409.42</v>
      </c>
      <c r="J29" s="8" t="n">
        <v>1444.66</v>
      </c>
      <c r="K29" s="8" t="n">
        <v>1480.77</v>
      </c>
      <c r="L29" s="8" t="n">
        <v>1517.79</v>
      </c>
      <c r="M29" s="8" t="n">
        <v>1555.74</v>
      </c>
      <c r="N29" s="8" t="n">
        <v>1594.63</v>
      </c>
      <c r="O29" s="8" t="n">
        <v>1634.5</v>
      </c>
      <c r="P29" s="8" t="n">
        <v>1675.36</v>
      </c>
      <c r="Q29" s="8" t="n">
        <v>1717.24</v>
      </c>
      <c r="R29" s="8" t="n">
        <v>1760.17</v>
      </c>
      <c r="S29" s="8" t="n">
        <v>1804.18</v>
      </c>
      <c r="T29" s="8" t="n">
        <v>1849.28</v>
      </c>
      <c r="U29" s="8" t="n">
        <v>1895.52</v>
      </c>
      <c r="V29" s="8" t="n">
        <v>1942.9</v>
      </c>
      <c r="W29" s="8" t="n">
        <v>1991.48</v>
      </c>
      <c r="X29" s="8" t="n">
        <v>2041.26</v>
      </c>
      <c r="Y29" s="8" t="n">
        <v>2092.29</v>
      </c>
      <c r="Z29" s="8" t="n">
        <v>2144.6</v>
      </c>
      <c r="AA29" s="8" t="n">
        <v>2198.22</v>
      </c>
    </row>
    <row r="30">
      <c r="A30" s="4" t="inlineStr">
        <is>
          <t>Bill Savings ($)</t>
        </is>
      </c>
      <c r="B30" s="8" t="n">
        <v>0</v>
      </c>
      <c r="C30" s="8" t="n">
        <v>2087.68</v>
      </c>
      <c r="D30" s="8" t="n">
        <v>2087.68</v>
      </c>
      <c r="E30" s="8" t="n">
        <v>2087.68</v>
      </c>
      <c r="F30" s="8" t="n">
        <v>2087.68</v>
      </c>
      <c r="G30" s="8" t="n">
        <v>2087.68</v>
      </c>
      <c r="H30" s="8" t="n">
        <v>2087.68</v>
      </c>
      <c r="I30" s="8" t="n">
        <v>2087.68</v>
      </c>
      <c r="J30" s="8" t="n">
        <v>2087.68</v>
      </c>
      <c r="K30" s="8" t="n">
        <v>2087.68</v>
      </c>
      <c r="L30" s="8" t="n">
        <v>2087.68</v>
      </c>
      <c r="M30" s="8" t="n">
        <v>2087.68</v>
      </c>
      <c r="N30" s="8" t="n">
        <v>2087.68</v>
      </c>
      <c r="O30" s="8" t="n">
        <v>2087.68</v>
      </c>
      <c r="P30" s="8" t="n">
        <v>2087.68</v>
      </c>
      <c r="Q30" s="8" t="n">
        <v>2087.68</v>
      </c>
      <c r="R30" s="8" t="n">
        <v>2087.68</v>
      </c>
      <c r="S30" s="8" t="n">
        <v>2087.68</v>
      </c>
      <c r="T30" s="8" t="n">
        <v>2087.68</v>
      </c>
      <c r="U30" s="8" t="n">
        <v>2087.68</v>
      </c>
      <c r="V30" s="8" t="n">
        <v>2087.68</v>
      </c>
      <c r="W30" s="8" t="n">
        <v>2087.68</v>
      </c>
      <c r="X30" s="8" t="n">
        <v>2087.68</v>
      </c>
      <c r="Y30" s="8" t="n">
        <v>2087.68</v>
      </c>
      <c r="Z30" s="8" t="n">
        <v>2087.68</v>
      </c>
      <c r="AA30" s="8" t="n">
        <v>2087.68</v>
      </c>
    </row>
    <row r="31">
      <c r="A31" s="4" t="inlineStr">
        <is>
          <t>Escalated Bill Savings ($)</t>
        </is>
      </c>
      <c r="B31" s="8" t="n">
        <v>0</v>
      </c>
      <c r="C31" s="8" t="n">
        <v>2087.68</v>
      </c>
      <c r="D31" s="8" t="n">
        <v>2139.87</v>
      </c>
      <c r="E31" s="8" t="n">
        <v>2193.37</v>
      </c>
      <c r="F31" s="8" t="n">
        <v>2248.2</v>
      </c>
      <c r="G31" s="8" t="n">
        <v>2304.41</v>
      </c>
      <c r="H31" s="8" t="n">
        <v>2362.02</v>
      </c>
      <c r="I31" s="8" t="n">
        <v>2421.07</v>
      </c>
      <c r="J31" s="8" t="n">
        <v>2481.6</v>
      </c>
      <c r="K31" s="8" t="n">
        <v>2543.64</v>
      </c>
      <c r="L31" s="8" t="n">
        <v>2607.23</v>
      </c>
      <c r="M31" s="8" t="n">
        <v>2672.41</v>
      </c>
      <c r="N31" s="8" t="n">
        <v>2739.22</v>
      </c>
      <c r="O31" s="8" t="n">
        <v>2807.7</v>
      </c>
      <c r="P31" s="8" t="n">
        <v>2877.89</v>
      </c>
      <c r="Q31" s="8" t="n">
        <v>2949.84</v>
      </c>
      <c r="R31" s="8" t="n">
        <v>3023.58</v>
      </c>
      <c r="S31" s="8" t="n">
        <v>3099.17</v>
      </c>
      <c r="T31" s="8" t="n">
        <v>3176.65</v>
      </c>
      <c r="U31" s="8" t="n">
        <v>3256.07</v>
      </c>
      <c r="V31" s="8" t="n">
        <v>3337.47</v>
      </c>
      <c r="W31" s="8" t="n">
        <v>3420.91</v>
      </c>
      <c r="X31" s="8" t="n">
        <v>3506.43</v>
      </c>
      <c r="Y31" s="8" t="n">
        <v>3594.09</v>
      </c>
      <c r="Z31" s="8" t="n">
        <v>3683.94</v>
      </c>
      <c r="AA31" s="8" t="n">
        <v>3776.04</v>
      </c>
    </row>
    <row r="32">
      <c r="A32" s="4" t="inlineStr">
        <is>
          <t>SMART Annual ($)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</row>
    <row r="33">
      <c r="A33" s="4" t="inlineStr">
        <is>
          <t>ConnectedSolutions ($)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</row>
    <row r="34">
      <c r="A34" s="4" t="inlineStr">
        <is>
          <t>Total Incentive Annual ($)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</row>
    <row r="35">
      <c r="A35" s="11" t="inlineStr">
        <is>
          <t>Simple Payback (yr)</t>
        </is>
      </c>
      <c r="B35" s="14">
        <f>IF((C30+C31)&gt;0,B24/(C30+C31),"N/A")</f>
        <v/>
      </c>
      <c r="C35" s="8" t="n">
        <v>2087.68</v>
      </c>
      <c r="D35" s="8" t="n">
        <v>2139.87</v>
      </c>
      <c r="E35" s="8" t="n">
        <v>2193.37</v>
      </c>
      <c r="F35" s="8" t="n">
        <v>2248.2</v>
      </c>
      <c r="G35" s="8" t="n">
        <v>2304.41</v>
      </c>
      <c r="H35" s="8" t="n">
        <v>2362.02</v>
      </c>
      <c r="I35" s="8" t="n">
        <v>2421.07</v>
      </c>
      <c r="J35" s="8" t="n">
        <v>2481.6</v>
      </c>
      <c r="K35" s="8" t="n">
        <v>2543.64</v>
      </c>
      <c r="L35" s="8" t="n">
        <v>2607.23</v>
      </c>
      <c r="M35" s="8" t="n">
        <v>2672.41</v>
      </c>
      <c r="N35" s="8" t="n">
        <v>2739.22</v>
      </c>
      <c r="O35" s="8" t="n">
        <v>2807.7</v>
      </c>
      <c r="P35" s="8" t="n">
        <v>2877.89</v>
      </c>
      <c r="Q35" s="8" t="n">
        <v>2949.84</v>
      </c>
      <c r="R35" s="8" t="n">
        <v>3023.58</v>
      </c>
      <c r="S35" s="8" t="n">
        <v>3099.17</v>
      </c>
      <c r="T35" s="8" t="n">
        <v>3176.65</v>
      </c>
      <c r="U35" s="8" t="n">
        <v>3256.07</v>
      </c>
      <c r="V35" s="8" t="n">
        <v>3337.47</v>
      </c>
      <c r="W35" s="8" t="n">
        <v>3420.91</v>
      </c>
      <c r="X35" s="8" t="n">
        <v>3506.43</v>
      </c>
      <c r="Y35" s="8" t="n">
        <v>3594.09</v>
      </c>
      <c r="Z35" s="8" t="n">
        <v>3683.94</v>
      </c>
      <c r="AA35" s="8" t="n">
        <v>3776.04</v>
      </c>
    </row>
    <row r="36">
      <c r="A36" s="11" t="inlineStr">
        <is>
          <t>NPV Breakeven Year</t>
        </is>
      </c>
      <c r="B36" s="15" t="inlineStr">
        <is>
          <t>See Cumulative NPV row 34 for first year ≥ 0</t>
        </is>
      </c>
      <c r="C36" s="12" t="n">
        <v>622.75</v>
      </c>
      <c r="D36" s="12" t="n">
        <v>674.95</v>
      </c>
      <c r="E36" s="12" t="n">
        <v>728.4400000000001</v>
      </c>
      <c r="F36" s="12" t="n">
        <v>783.28</v>
      </c>
      <c r="G36" s="12" t="n">
        <v>839.48</v>
      </c>
      <c r="H36" s="12" t="n">
        <v>897.09</v>
      </c>
      <c r="I36" s="12" t="n">
        <v>956.14</v>
      </c>
      <c r="J36" s="12" t="n">
        <v>1016.67</v>
      </c>
      <c r="K36" s="12" t="n">
        <v>1078.71</v>
      </c>
      <c r="L36" s="12" t="n">
        <v>1142.3</v>
      </c>
      <c r="M36" s="12" t="n">
        <v>1207.48</v>
      </c>
      <c r="N36" s="12" t="n">
        <v>1274.29</v>
      </c>
      <c r="O36" s="12" t="n">
        <v>1342.77</v>
      </c>
      <c r="P36" s="12" t="n">
        <v>1412.96</v>
      </c>
      <c r="Q36" s="12" t="n">
        <v>1484.91</v>
      </c>
      <c r="R36" s="12" t="n">
        <v>1558.66</v>
      </c>
      <c r="S36" s="12" t="n">
        <v>1634.25</v>
      </c>
      <c r="T36" s="12" t="n">
        <v>1711.73</v>
      </c>
      <c r="U36" s="12" t="n">
        <v>1791.14</v>
      </c>
      <c r="V36" s="12" t="n">
        <v>1872.54</v>
      </c>
      <c r="W36" s="12" t="n">
        <v>1955.98</v>
      </c>
      <c r="X36" s="12" t="n">
        <v>2041.5</v>
      </c>
      <c r="Y36" s="12" t="n">
        <v>2129.16</v>
      </c>
      <c r="Z36" s="12" t="n">
        <v>2219.02</v>
      </c>
      <c r="AA36" s="12" t="n">
        <v>2311.12</v>
      </c>
    </row>
    <row r="37">
      <c r="A37" s="4" t="inlineStr">
        <is>
          <t>Discounted Net Savings ($)</t>
        </is>
      </c>
      <c r="B37" s="8" t="n">
        <v>0</v>
      </c>
      <c r="C37" s="8" t="n">
        <v>585.3</v>
      </c>
      <c r="D37" s="8" t="n">
        <v>596.1900000000001</v>
      </c>
      <c r="E37" s="8" t="n">
        <v>604.74</v>
      </c>
      <c r="F37" s="8" t="n">
        <v>611.15</v>
      </c>
      <c r="G37" s="8" t="n">
        <v>615.61</v>
      </c>
      <c r="H37" s="8" t="n">
        <v>618.28</v>
      </c>
      <c r="I37" s="8" t="n">
        <v>619.34</v>
      </c>
      <c r="J37" s="8" t="n">
        <v>618.9400000000001</v>
      </c>
      <c r="K37" s="8" t="n">
        <v>617.21</v>
      </c>
      <c r="L37" s="8" t="n">
        <v>614.28</v>
      </c>
      <c r="M37" s="8" t="n">
        <v>610.27</v>
      </c>
      <c r="N37" s="8" t="n">
        <v>605.3</v>
      </c>
      <c r="O37" s="8" t="n">
        <v>599.46</v>
      </c>
      <c r="P37" s="8" t="n">
        <v>592.85</v>
      </c>
      <c r="Q37" s="8" t="n">
        <v>585.5700000000001</v>
      </c>
      <c r="R37" s="8" t="n">
        <v>577.6799999999999</v>
      </c>
      <c r="S37" s="8" t="n">
        <v>569.26</v>
      </c>
      <c r="T37" s="8" t="n">
        <v>560.38</v>
      </c>
      <c r="U37" s="8" t="n">
        <v>551.11</v>
      </c>
      <c r="V37" s="8" t="n">
        <v>541.5</v>
      </c>
      <c r="W37" s="8" t="n">
        <v>531.61</v>
      </c>
      <c r="X37" s="8" t="n">
        <v>521.48</v>
      </c>
      <c r="Y37" s="8" t="n">
        <v>511.15</v>
      </c>
      <c r="Z37" s="8" t="n">
        <v>500.68</v>
      </c>
      <c r="AA37" s="8" t="n">
        <v>490.1</v>
      </c>
    </row>
    <row r="38">
      <c r="A38" s="4" t="inlineStr">
        <is>
          <t>Cumulative NPV ($)</t>
        </is>
      </c>
      <c r="B38" s="8" t="n">
        <v>0</v>
      </c>
      <c r="C38" s="8" t="n">
        <v>585.3</v>
      </c>
      <c r="D38" s="8" t="n">
        <v>1181.49</v>
      </c>
      <c r="E38" s="8" t="n">
        <v>1786.23</v>
      </c>
      <c r="F38" s="8" t="n">
        <v>2397.38</v>
      </c>
      <c r="G38" s="8" t="n">
        <v>3012.99</v>
      </c>
      <c r="H38" s="8" t="n">
        <v>3631.27</v>
      </c>
      <c r="I38" s="8" t="n">
        <v>4250.61</v>
      </c>
      <c r="J38" s="8" t="n">
        <v>4869.55</v>
      </c>
      <c r="K38" s="8" t="n">
        <v>5486.76</v>
      </c>
      <c r="L38" s="8" t="n">
        <v>6101.03</v>
      </c>
      <c r="M38" s="8" t="n">
        <v>6711.3</v>
      </c>
      <c r="N38" s="8" t="n">
        <v>7316.6</v>
      </c>
      <c r="O38" s="8" t="n">
        <v>7916.06</v>
      </c>
      <c r="P38" s="8" t="n">
        <v>8508.92</v>
      </c>
      <c r="Q38" s="8" t="n">
        <v>9094.49</v>
      </c>
      <c r="R38" s="8" t="n">
        <v>9672.16</v>
      </c>
      <c r="S38" s="8" t="n">
        <v>10241.42</v>
      </c>
      <c r="T38" s="8" t="n">
        <v>10801.8</v>
      </c>
      <c r="U38" s="8" t="n">
        <v>11352.91</v>
      </c>
      <c r="V38" s="8" t="n">
        <v>11894.42</v>
      </c>
      <c r="W38" s="8" t="n">
        <v>12426.02</v>
      </c>
      <c r="X38" s="8" t="n">
        <v>12947.5</v>
      </c>
      <c r="Y38" s="8" t="n">
        <v>13458.65</v>
      </c>
      <c r="Z38" s="8" t="n">
        <v>13959.33</v>
      </c>
      <c r="AA38" s="8" t="n">
        <v>14449.43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0" t="inlineStr">
        <is>
          <t>NGrid PVS — All Incentives</t>
        </is>
      </c>
    </row>
    <row r="2">
      <c r="A2" s="2" t="inlineStr">
        <is>
          <t>Debt: $35,797 | PMT: $3,138/yr | Bill Savings Y1: $2,065</t>
        </is>
      </c>
    </row>
    <row r="3">
      <c r="A3" s="11" t="inlineStr">
        <is>
          <t>Year</t>
        </is>
      </c>
      <c r="B3" s="11" t="n">
        <v>0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  <c r="U3" s="11" t="n">
        <v>19</v>
      </c>
      <c r="V3" s="11" t="n">
        <v>20</v>
      </c>
      <c r="W3" s="11" t="n">
        <v>21</v>
      </c>
      <c r="X3" s="11" t="n">
        <v>22</v>
      </c>
      <c r="Y3" s="11" t="n">
        <v>23</v>
      </c>
      <c r="Z3" s="11" t="n">
        <v>24</v>
      </c>
      <c r="AA3" s="11" t="n">
        <v>25</v>
      </c>
    </row>
    <row r="4">
      <c r="A4" s="4" t="inlineStr">
        <is>
          <t>Debt Balance ($)</t>
        </is>
      </c>
      <c r="B4" s="8" t="n">
        <v>35796.8</v>
      </c>
      <c r="C4" s="8" t="n">
        <v>35250.04</v>
      </c>
      <c r="D4" s="8" t="n">
        <v>34663.7</v>
      </c>
      <c r="E4" s="8" t="n">
        <v>34034.91</v>
      </c>
      <c r="F4" s="8" t="n">
        <v>33360.59</v>
      </c>
      <c r="G4" s="8" t="n">
        <v>32637.45</v>
      </c>
      <c r="H4" s="8" t="n">
        <v>31861.96</v>
      </c>
      <c r="I4" s="8" t="n">
        <v>31030.32</v>
      </c>
      <c r="J4" s="8" t="n">
        <v>30138.47</v>
      </c>
      <c r="K4" s="8" t="n">
        <v>29182.05</v>
      </c>
      <c r="L4" s="8" t="n">
        <v>28156.38</v>
      </c>
      <c r="M4" s="8" t="n">
        <v>27056.46</v>
      </c>
      <c r="N4" s="8" t="n">
        <v>25876.9</v>
      </c>
      <c r="O4" s="8" t="n">
        <v>24611.94</v>
      </c>
      <c r="P4" s="8" t="n">
        <v>23255.4</v>
      </c>
      <c r="Q4" s="8" t="n">
        <v>21800.64</v>
      </c>
      <c r="R4" s="8" t="n">
        <v>20240.57</v>
      </c>
      <c r="S4" s="8" t="n">
        <v>18567.54</v>
      </c>
      <c r="T4" s="8" t="n">
        <v>16773.38</v>
      </c>
      <c r="U4" s="8" t="n">
        <v>14849.33</v>
      </c>
      <c r="V4" s="8" t="n">
        <v>12785.97</v>
      </c>
      <c r="W4" s="8" t="n">
        <v>10573.23</v>
      </c>
      <c r="X4" s="8" t="n">
        <v>8200.290000000001</v>
      </c>
      <c r="Y4" s="8" t="n">
        <v>5655.55</v>
      </c>
      <c r="Z4" s="8" t="n">
        <v>2926.56</v>
      </c>
      <c r="AA4" s="8" t="n">
        <v>0</v>
      </c>
    </row>
    <row r="5">
      <c r="A5" s="4" t="inlineStr">
        <is>
          <t>Interest Payment ($)</t>
        </is>
      </c>
      <c r="B5" s="8" t="n">
        <v>0</v>
      </c>
      <c r="C5" s="8" t="n">
        <v>2591.69</v>
      </c>
      <c r="D5" s="8" t="n">
        <v>2552.1</v>
      </c>
      <c r="E5" s="8" t="n">
        <v>2509.65</v>
      </c>
      <c r="F5" s="8" t="n">
        <v>2464.13</v>
      </c>
      <c r="G5" s="8" t="n">
        <v>2415.31</v>
      </c>
      <c r="H5" s="8" t="n">
        <v>2362.95</v>
      </c>
      <c r="I5" s="8" t="n">
        <v>2306.81</v>
      </c>
      <c r="J5" s="8" t="n">
        <v>2246.59</v>
      </c>
      <c r="K5" s="8" t="n">
        <v>2182.02</v>
      </c>
      <c r="L5" s="8" t="n">
        <v>2112.78</v>
      </c>
      <c r="M5" s="8" t="n">
        <v>2038.52</v>
      </c>
      <c r="N5" s="8" t="n">
        <v>1958.89</v>
      </c>
      <c r="O5" s="8" t="n">
        <v>1873.49</v>
      </c>
      <c r="P5" s="8" t="n">
        <v>1781.9</v>
      </c>
      <c r="Q5" s="8" t="n">
        <v>1683.69</v>
      </c>
      <c r="R5" s="8" t="n">
        <v>1578.37</v>
      </c>
      <c r="S5" s="8" t="n">
        <v>1465.42</v>
      </c>
      <c r="T5" s="8" t="n">
        <v>1344.29</v>
      </c>
      <c r="U5" s="8" t="n">
        <v>1214.39</v>
      </c>
      <c r="V5" s="8" t="n">
        <v>1075.09</v>
      </c>
      <c r="W5" s="8" t="n">
        <v>925.7</v>
      </c>
      <c r="X5" s="8" t="n">
        <v>765.5</v>
      </c>
      <c r="Y5" s="8" t="n">
        <v>593.7</v>
      </c>
      <c r="Z5" s="8" t="n">
        <v>409.46</v>
      </c>
      <c r="AA5" s="8" t="n">
        <v>211.88</v>
      </c>
    </row>
    <row r="6">
      <c r="A6" s="4" t="inlineStr">
        <is>
          <t>Principal Payment ($)</t>
        </is>
      </c>
      <c r="B6" s="8" t="n">
        <v>0</v>
      </c>
      <c r="C6" s="8" t="n">
        <v>546.76</v>
      </c>
      <c r="D6" s="8" t="n">
        <v>586.34</v>
      </c>
      <c r="E6" s="8" t="n">
        <v>628.79</v>
      </c>
      <c r="F6" s="8" t="n">
        <v>674.3200000000001</v>
      </c>
      <c r="G6" s="8" t="n">
        <v>723.14</v>
      </c>
      <c r="H6" s="8" t="n">
        <v>775.49</v>
      </c>
      <c r="I6" s="8" t="n">
        <v>831.64</v>
      </c>
      <c r="J6" s="8" t="n">
        <v>891.85</v>
      </c>
      <c r="K6" s="8" t="n">
        <v>956.42</v>
      </c>
      <c r="L6" s="8" t="n">
        <v>1025.67</v>
      </c>
      <c r="M6" s="8" t="n">
        <v>1099.92</v>
      </c>
      <c r="N6" s="8" t="n">
        <v>1179.56</v>
      </c>
      <c r="O6" s="8" t="n">
        <v>1264.96</v>
      </c>
      <c r="P6" s="8" t="n">
        <v>1356.54</v>
      </c>
      <c r="Q6" s="8" t="n">
        <v>1454.75</v>
      </c>
      <c r="R6" s="8" t="n">
        <v>1560.08</v>
      </c>
      <c r="S6" s="8" t="n">
        <v>1673.03</v>
      </c>
      <c r="T6" s="8" t="n">
        <v>1794.16</v>
      </c>
      <c r="U6" s="8" t="n">
        <v>1924.05</v>
      </c>
      <c r="V6" s="8" t="n">
        <v>2063.35</v>
      </c>
      <c r="W6" s="8" t="n">
        <v>2212.74</v>
      </c>
      <c r="X6" s="8" t="n">
        <v>2372.94</v>
      </c>
      <c r="Y6" s="8" t="n">
        <v>2544.74</v>
      </c>
      <c r="Z6" s="8" t="n">
        <v>2728.98</v>
      </c>
      <c r="AA6" s="8" t="n">
        <v>2926.56</v>
      </c>
    </row>
    <row r="7">
      <c r="A7" s="4" t="inlineStr">
        <is>
          <t>Total P&amp;I Payment ($)</t>
        </is>
      </c>
      <c r="B7" s="8" t="n">
        <v>0</v>
      </c>
      <c r="C7" s="8" t="n">
        <v>3138.45</v>
      </c>
      <c r="D7" s="8" t="n">
        <v>3138.45</v>
      </c>
      <c r="E7" s="8" t="n">
        <v>3138.45</v>
      </c>
      <c r="F7" s="8" t="n">
        <v>3138.45</v>
      </c>
      <c r="G7" s="8" t="n">
        <v>3138.45</v>
      </c>
      <c r="H7" s="8" t="n">
        <v>3138.45</v>
      </c>
      <c r="I7" s="8" t="n">
        <v>3138.45</v>
      </c>
      <c r="J7" s="8" t="n">
        <v>3138.45</v>
      </c>
      <c r="K7" s="8" t="n">
        <v>3138.45</v>
      </c>
      <c r="L7" s="8" t="n">
        <v>3138.45</v>
      </c>
      <c r="M7" s="8" t="n">
        <v>3138.45</v>
      </c>
      <c r="N7" s="8" t="n">
        <v>3138.45</v>
      </c>
      <c r="O7" s="8" t="n">
        <v>3138.45</v>
      </c>
      <c r="P7" s="8" t="n">
        <v>3138.45</v>
      </c>
      <c r="Q7" s="8" t="n">
        <v>3138.45</v>
      </c>
      <c r="R7" s="8" t="n">
        <v>3138.45</v>
      </c>
      <c r="S7" s="8" t="n">
        <v>3138.45</v>
      </c>
      <c r="T7" s="8" t="n">
        <v>3138.45</v>
      </c>
      <c r="U7" s="8" t="n">
        <v>3138.45</v>
      </c>
      <c r="V7" s="8" t="n">
        <v>3138.45</v>
      </c>
      <c r="W7" s="8" t="n">
        <v>3138.45</v>
      </c>
      <c r="X7" s="8" t="n">
        <v>3138.45</v>
      </c>
      <c r="Y7" s="8" t="n">
        <v>3138.45</v>
      </c>
      <c r="Z7" s="8" t="n">
        <v>3138.45</v>
      </c>
      <c r="AA7" s="8" t="n">
        <v>3138.45</v>
      </c>
    </row>
    <row r="8">
      <c r="A8" s="4" t="inlineStr">
        <is>
          <t>Bill w/o System ($)</t>
        </is>
      </c>
      <c r="B8" s="8" t="n">
        <v>0</v>
      </c>
      <c r="C8" s="8" t="n">
        <v>3303.02</v>
      </c>
      <c r="D8" s="8" t="n">
        <v>3385.6</v>
      </c>
      <c r="E8" s="8" t="n">
        <v>3470.24</v>
      </c>
      <c r="F8" s="8" t="n">
        <v>3556.99</v>
      </c>
      <c r="G8" s="8" t="n">
        <v>3645.92</v>
      </c>
      <c r="H8" s="8" t="n">
        <v>3737.06</v>
      </c>
      <c r="I8" s="8" t="n">
        <v>3830.49</v>
      </c>
      <c r="J8" s="8" t="n">
        <v>3926.25</v>
      </c>
      <c r="K8" s="8" t="n">
        <v>4024.41</v>
      </c>
      <c r="L8" s="8" t="n">
        <v>4125.02</v>
      </c>
      <c r="M8" s="8" t="n">
        <v>4228.14</v>
      </c>
      <c r="N8" s="8" t="n">
        <v>4333.85</v>
      </c>
      <c r="O8" s="8" t="n">
        <v>4442.19</v>
      </c>
      <c r="P8" s="8" t="n">
        <v>4553.25</v>
      </c>
      <c r="Q8" s="8" t="n">
        <v>4667.08</v>
      </c>
      <c r="R8" s="8" t="n">
        <v>4783.76</v>
      </c>
      <c r="S8" s="8" t="n">
        <v>4903.35</v>
      </c>
      <c r="T8" s="8" t="n">
        <v>5025.94</v>
      </c>
      <c r="U8" s="8" t="n">
        <v>5151.58</v>
      </c>
      <c r="V8" s="8" t="n">
        <v>5280.37</v>
      </c>
      <c r="W8" s="8" t="n">
        <v>5412.38</v>
      </c>
      <c r="X8" s="8" t="n">
        <v>5547.69</v>
      </c>
      <c r="Y8" s="8" t="n">
        <v>5686.38</v>
      </c>
      <c r="Z8" s="8" t="n">
        <v>5828.54</v>
      </c>
      <c r="AA8" s="8" t="n">
        <v>5974.26</v>
      </c>
    </row>
    <row r="9">
      <c r="A9" s="4" t="inlineStr">
        <is>
          <t>Bill w/ System ($)</t>
        </is>
      </c>
      <c r="B9" s="8" t="n">
        <v>0</v>
      </c>
      <c r="C9" s="8" t="n">
        <v>1237.71</v>
      </c>
      <c r="D9" s="8" t="n">
        <v>1268.65</v>
      </c>
      <c r="E9" s="8" t="n">
        <v>1300.37</v>
      </c>
      <c r="F9" s="8" t="n">
        <v>1332.88</v>
      </c>
      <c r="G9" s="8" t="n">
        <v>1366.2</v>
      </c>
      <c r="H9" s="8" t="n">
        <v>1400.36</v>
      </c>
      <c r="I9" s="8" t="n">
        <v>1435.36</v>
      </c>
      <c r="J9" s="8" t="n">
        <v>1471.25</v>
      </c>
      <c r="K9" s="8" t="n">
        <v>1508.03</v>
      </c>
      <c r="L9" s="8" t="n">
        <v>1545.73</v>
      </c>
      <c r="M9" s="8" t="n">
        <v>1584.37</v>
      </c>
      <c r="N9" s="8" t="n">
        <v>1623.98</v>
      </c>
      <c r="O9" s="8" t="n">
        <v>1664.58</v>
      </c>
      <c r="P9" s="8" t="n">
        <v>1706.2</v>
      </c>
      <c r="Q9" s="8" t="n">
        <v>1748.85</v>
      </c>
      <c r="R9" s="8" t="n">
        <v>1792.57</v>
      </c>
      <c r="S9" s="8" t="n">
        <v>1837.39</v>
      </c>
      <c r="T9" s="8" t="n">
        <v>1883.32</v>
      </c>
      <c r="U9" s="8" t="n">
        <v>1930.41</v>
      </c>
      <c r="V9" s="8" t="n">
        <v>1978.67</v>
      </c>
      <c r="W9" s="8" t="n">
        <v>2028.13</v>
      </c>
      <c r="X9" s="8" t="n">
        <v>2078.84</v>
      </c>
      <c r="Y9" s="8" t="n">
        <v>2130.81</v>
      </c>
      <c r="Z9" s="8" t="n">
        <v>2184.08</v>
      </c>
      <c r="AA9" s="8" t="n">
        <v>2238.68</v>
      </c>
    </row>
    <row r="10">
      <c r="A10" s="4" t="inlineStr">
        <is>
          <t>Bill Savings ($)</t>
        </is>
      </c>
      <c r="B10" s="8" t="n">
        <v>0</v>
      </c>
      <c r="C10" s="8" t="n">
        <v>2065.31</v>
      </c>
      <c r="D10" s="8" t="n">
        <v>2065.31</v>
      </c>
      <c r="E10" s="8" t="n">
        <v>2065.31</v>
      </c>
      <c r="F10" s="8" t="n">
        <v>2065.31</v>
      </c>
      <c r="G10" s="8" t="n">
        <v>2065.31</v>
      </c>
      <c r="H10" s="8" t="n">
        <v>2065.31</v>
      </c>
      <c r="I10" s="8" t="n">
        <v>2065.31</v>
      </c>
      <c r="J10" s="8" t="n">
        <v>2065.31</v>
      </c>
      <c r="K10" s="8" t="n">
        <v>2065.31</v>
      </c>
      <c r="L10" s="8" t="n">
        <v>2065.31</v>
      </c>
      <c r="M10" s="8" t="n">
        <v>2065.31</v>
      </c>
      <c r="N10" s="8" t="n">
        <v>2065.31</v>
      </c>
      <c r="O10" s="8" t="n">
        <v>2065.31</v>
      </c>
      <c r="P10" s="8" t="n">
        <v>2065.31</v>
      </c>
      <c r="Q10" s="8" t="n">
        <v>2065.31</v>
      </c>
      <c r="R10" s="8" t="n">
        <v>2065.31</v>
      </c>
      <c r="S10" s="8" t="n">
        <v>2065.31</v>
      </c>
      <c r="T10" s="8" t="n">
        <v>2065.31</v>
      </c>
      <c r="U10" s="8" t="n">
        <v>2065.31</v>
      </c>
      <c r="V10" s="8" t="n">
        <v>2065.31</v>
      </c>
      <c r="W10" s="8" t="n">
        <v>2065.31</v>
      </c>
      <c r="X10" s="8" t="n">
        <v>2065.31</v>
      </c>
      <c r="Y10" s="8" t="n">
        <v>2065.31</v>
      </c>
      <c r="Z10" s="8" t="n">
        <v>2065.31</v>
      </c>
      <c r="AA10" s="8" t="n">
        <v>2065.31</v>
      </c>
    </row>
    <row r="11">
      <c r="A11" s="4" t="inlineStr">
        <is>
          <t>Escalated Bill Savings ($)</t>
        </is>
      </c>
      <c r="B11" s="8" t="n">
        <v>0</v>
      </c>
      <c r="C11" s="8" t="n">
        <v>2065.31</v>
      </c>
      <c r="D11" s="8" t="n">
        <v>2116.94</v>
      </c>
      <c r="E11" s="8" t="n">
        <v>2169.87</v>
      </c>
      <c r="F11" s="8" t="n">
        <v>2224.11</v>
      </c>
      <c r="G11" s="8" t="n">
        <v>2279.72</v>
      </c>
      <c r="H11" s="8" t="n">
        <v>2336.71</v>
      </c>
      <c r="I11" s="8" t="n">
        <v>2395.13</v>
      </c>
      <c r="J11" s="8" t="n">
        <v>2455</v>
      </c>
      <c r="K11" s="8" t="n">
        <v>2516.38</v>
      </c>
      <c r="L11" s="8" t="n">
        <v>2579.29</v>
      </c>
      <c r="M11" s="8" t="n">
        <v>2643.77</v>
      </c>
      <c r="N11" s="8" t="n">
        <v>2709.87</v>
      </c>
      <c r="O11" s="8" t="n">
        <v>2777.61</v>
      </c>
      <c r="P11" s="8" t="n">
        <v>2847.05</v>
      </c>
      <c r="Q11" s="8" t="n">
        <v>2918.23</v>
      </c>
      <c r="R11" s="8" t="n">
        <v>2991.18</v>
      </c>
      <c r="S11" s="8" t="n">
        <v>3065.96</v>
      </c>
      <c r="T11" s="8" t="n">
        <v>3142.61</v>
      </c>
      <c r="U11" s="8" t="n">
        <v>3221.18</v>
      </c>
      <c r="V11" s="8" t="n">
        <v>3301.71</v>
      </c>
      <c r="W11" s="8" t="n">
        <v>3384.25</v>
      </c>
      <c r="X11" s="8" t="n">
        <v>3468.86</v>
      </c>
      <c r="Y11" s="8" t="n">
        <v>3555.58</v>
      </c>
      <c r="Z11" s="8" t="n">
        <v>3644.47</v>
      </c>
      <c r="AA11" s="8" t="n">
        <v>3735.58</v>
      </c>
    </row>
    <row r="12">
      <c r="A12" s="4" t="inlineStr">
        <is>
          <t>SMART Annual ($)</t>
        </is>
      </c>
      <c r="B12" s="8" t="n">
        <v>0</v>
      </c>
      <c r="C12" s="8" t="n">
        <v>579.4</v>
      </c>
      <c r="D12" s="8" t="n">
        <v>579.4</v>
      </c>
      <c r="E12" s="8" t="n">
        <v>579.4</v>
      </c>
      <c r="F12" s="8" t="n">
        <v>579.4</v>
      </c>
      <c r="G12" s="8" t="n">
        <v>579.4</v>
      </c>
      <c r="H12" s="8" t="n">
        <v>579.4</v>
      </c>
      <c r="I12" s="8" t="n">
        <v>579.4</v>
      </c>
      <c r="J12" s="8" t="n">
        <v>579.4</v>
      </c>
      <c r="K12" s="8" t="n">
        <v>579.4</v>
      </c>
      <c r="L12" s="8" t="n">
        <v>579.4</v>
      </c>
      <c r="M12" s="8" t="n">
        <v>579.4</v>
      </c>
      <c r="N12" s="8" t="n">
        <v>579.4</v>
      </c>
      <c r="O12" s="8" t="n">
        <v>579.4</v>
      </c>
      <c r="P12" s="8" t="n">
        <v>579.4</v>
      </c>
      <c r="Q12" s="8" t="n">
        <v>579.4</v>
      </c>
      <c r="R12" s="8" t="n">
        <v>579.4</v>
      </c>
      <c r="S12" s="8" t="n">
        <v>579.4</v>
      </c>
      <c r="T12" s="8" t="n">
        <v>579.4</v>
      </c>
      <c r="U12" s="8" t="n">
        <v>579.4</v>
      </c>
      <c r="V12" s="8" t="n">
        <v>579.4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</row>
    <row r="13">
      <c r="A13" s="4" t="inlineStr">
        <is>
          <t>ConnectedSolutions ($)</t>
        </is>
      </c>
      <c r="B13" s="8" t="n">
        <v>0</v>
      </c>
      <c r="C13" s="8" t="n">
        <v>1375</v>
      </c>
      <c r="D13" s="8" t="n">
        <v>1375</v>
      </c>
      <c r="E13" s="8" t="n">
        <v>1375</v>
      </c>
      <c r="F13" s="8" t="n">
        <v>1375</v>
      </c>
      <c r="G13" s="8" t="n">
        <v>1375</v>
      </c>
      <c r="H13" s="8" t="n">
        <v>1375</v>
      </c>
      <c r="I13" s="8" t="n">
        <v>1375</v>
      </c>
      <c r="J13" s="8" t="n">
        <v>1375</v>
      </c>
      <c r="K13" s="8" t="n">
        <v>1375</v>
      </c>
      <c r="L13" s="8" t="n">
        <v>1375</v>
      </c>
      <c r="M13" s="8" t="n">
        <v>1375</v>
      </c>
      <c r="N13" s="8" t="n">
        <v>1375</v>
      </c>
      <c r="O13" s="8" t="n">
        <v>1375</v>
      </c>
      <c r="P13" s="8" t="n">
        <v>1375</v>
      </c>
      <c r="Q13" s="8" t="n">
        <v>1375</v>
      </c>
      <c r="R13" s="8" t="n">
        <v>1375</v>
      </c>
      <c r="S13" s="8" t="n">
        <v>1375</v>
      </c>
      <c r="T13" s="8" t="n">
        <v>1375</v>
      </c>
      <c r="U13" s="8" t="n">
        <v>1375</v>
      </c>
      <c r="V13" s="8" t="n">
        <v>1375</v>
      </c>
      <c r="W13" s="8" t="n">
        <v>1375</v>
      </c>
      <c r="X13" s="8" t="n">
        <v>1375</v>
      </c>
      <c r="Y13" s="8" t="n">
        <v>1375</v>
      </c>
      <c r="Z13" s="8" t="n">
        <v>1375</v>
      </c>
      <c r="AA13" s="8" t="n">
        <v>1375</v>
      </c>
    </row>
    <row r="14">
      <c r="A14" s="4" t="inlineStr">
        <is>
          <t>Total Incentive Annual ($)</t>
        </is>
      </c>
      <c r="B14" s="8" t="n">
        <v>0</v>
      </c>
      <c r="C14" s="8" t="n">
        <v>1954.4</v>
      </c>
      <c r="D14" s="8" t="n">
        <v>1954.4</v>
      </c>
      <c r="E14" s="8" t="n">
        <v>1954.4</v>
      </c>
      <c r="F14" s="8" t="n">
        <v>1954.4</v>
      </c>
      <c r="G14" s="8" t="n">
        <v>1954.4</v>
      </c>
      <c r="H14" s="8" t="n">
        <v>1954.4</v>
      </c>
      <c r="I14" s="8" t="n">
        <v>1954.4</v>
      </c>
      <c r="J14" s="8" t="n">
        <v>1954.4</v>
      </c>
      <c r="K14" s="8" t="n">
        <v>1954.4</v>
      </c>
      <c r="L14" s="8" t="n">
        <v>1954.4</v>
      </c>
      <c r="M14" s="8" t="n">
        <v>1954.4</v>
      </c>
      <c r="N14" s="8" t="n">
        <v>1954.4</v>
      </c>
      <c r="O14" s="8" t="n">
        <v>1954.4</v>
      </c>
      <c r="P14" s="8" t="n">
        <v>1954.4</v>
      </c>
      <c r="Q14" s="8" t="n">
        <v>1954.4</v>
      </c>
      <c r="R14" s="8" t="n">
        <v>1954.4</v>
      </c>
      <c r="S14" s="8" t="n">
        <v>1954.4</v>
      </c>
      <c r="T14" s="8" t="n">
        <v>1954.4</v>
      </c>
      <c r="U14" s="8" t="n">
        <v>1954.4</v>
      </c>
      <c r="V14" s="8" t="n">
        <v>1954.4</v>
      </c>
      <c r="W14" s="8" t="n">
        <v>1375</v>
      </c>
      <c r="X14" s="8" t="n">
        <v>1375</v>
      </c>
      <c r="Y14" s="8" t="n">
        <v>1375</v>
      </c>
      <c r="Z14" s="8" t="n">
        <v>1375</v>
      </c>
      <c r="AA14" s="8" t="n">
        <v>1375</v>
      </c>
    </row>
    <row r="15">
      <c r="A15" s="11" t="inlineStr">
        <is>
          <t>Simple Payback (yr)</t>
        </is>
      </c>
      <c r="B15" s="14">
        <f>IF((C10+C11)&gt;0,B4/(C10+C11),"N/A")</f>
        <v/>
      </c>
      <c r="C15" s="8" t="n">
        <v>4019.71</v>
      </c>
      <c r="D15" s="8" t="n">
        <v>4071.34</v>
      </c>
      <c r="E15" s="8" t="n">
        <v>4124.27</v>
      </c>
      <c r="F15" s="8" t="n">
        <v>4178.51</v>
      </c>
      <c r="G15" s="8" t="n">
        <v>4234.12</v>
      </c>
      <c r="H15" s="8" t="n">
        <v>4291.11</v>
      </c>
      <c r="I15" s="8" t="n">
        <v>4349.53</v>
      </c>
      <c r="J15" s="8" t="n">
        <v>4409.4</v>
      </c>
      <c r="K15" s="8" t="n">
        <v>4470.78</v>
      </c>
      <c r="L15" s="8" t="n">
        <v>4533.69</v>
      </c>
      <c r="M15" s="8" t="n">
        <v>4598.17</v>
      </c>
      <c r="N15" s="8" t="n">
        <v>4664.27</v>
      </c>
      <c r="O15" s="8" t="n">
        <v>4732.01</v>
      </c>
      <c r="P15" s="8" t="n">
        <v>4801.45</v>
      </c>
      <c r="Q15" s="8" t="n">
        <v>4872.63</v>
      </c>
      <c r="R15" s="8" t="n">
        <v>4945.58</v>
      </c>
      <c r="S15" s="8" t="n">
        <v>5020.36</v>
      </c>
      <c r="T15" s="8" t="n">
        <v>5097.01</v>
      </c>
      <c r="U15" s="8" t="n">
        <v>5175.58</v>
      </c>
      <c r="V15" s="8" t="n">
        <v>5256.11</v>
      </c>
      <c r="W15" s="8" t="n">
        <v>4759.25</v>
      </c>
      <c r="X15" s="8" t="n">
        <v>4843.86</v>
      </c>
      <c r="Y15" s="8" t="n">
        <v>4930.58</v>
      </c>
      <c r="Z15" s="8" t="n">
        <v>5019.47</v>
      </c>
      <c r="AA15" s="8" t="n">
        <v>5110.58</v>
      </c>
    </row>
    <row r="16">
      <c r="A16" s="11" t="inlineStr">
        <is>
          <t>NPV Breakeven Year</t>
        </is>
      </c>
      <c r="B16" s="15" t="inlineStr">
        <is>
          <t>See Cumulative NPV row 14 for first year ≥ 0</t>
        </is>
      </c>
      <c r="C16" s="12" t="n">
        <v>881.26</v>
      </c>
      <c r="D16" s="12" t="n">
        <v>932.9</v>
      </c>
      <c r="E16" s="12" t="n">
        <v>985.8200000000001</v>
      </c>
      <c r="F16" s="12" t="n">
        <v>1040.07</v>
      </c>
      <c r="G16" s="12" t="n">
        <v>1095.67</v>
      </c>
      <c r="H16" s="12" t="n">
        <v>1152.66</v>
      </c>
      <c r="I16" s="12" t="n">
        <v>1211.08</v>
      </c>
      <c r="J16" s="12" t="n">
        <v>1270.96</v>
      </c>
      <c r="K16" s="12" t="n">
        <v>1332.33</v>
      </c>
      <c r="L16" s="12" t="n">
        <v>1395.24</v>
      </c>
      <c r="M16" s="12" t="n">
        <v>1459.73</v>
      </c>
      <c r="N16" s="12" t="n">
        <v>1525.82</v>
      </c>
      <c r="O16" s="12" t="n">
        <v>1593.57</v>
      </c>
      <c r="P16" s="12" t="n">
        <v>1663.01</v>
      </c>
      <c r="Q16" s="12" t="n">
        <v>1734.18</v>
      </c>
      <c r="R16" s="12" t="n">
        <v>1807.14</v>
      </c>
      <c r="S16" s="12" t="n">
        <v>1881.92</v>
      </c>
      <c r="T16" s="12" t="n">
        <v>1958.57</v>
      </c>
      <c r="U16" s="12" t="n">
        <v>2037.13</v>
      </c>
      <c r="V16" s="12" t="n">
        <v>2117.66</v>
      </c>
      <c r="W16" s="12" t="n">
        <v>1620.81</v>
      </c>
      <c r="X16" s="12" t="n">
        <v>1705.41</v>
      </c>
      <c r="Y16" s="12" t="n">
        <v>1792.13</v>
      </c>
      <c r="Z16" s="12" t="n">
        <v>1881.02</v>
      </c>
      <c r="AA16" s="12" t="n">
        <v>1972.13</v>
      </c>
    </row>
    <row r="17">
      <c r="A17" s="4" t="inlineStr">
        <is>
          <t>Discounted Net Savings ($)</t>
        </is>
      </c>
      <c r="B17" s="8" t="n">
        <v>0</v>
      </c>
      <c r="C17" s="8" t="n">
        <v>828.26</v>
      </c>
      <c r="D17" s="8" t="n">
        <v>824.04</v>
      </c>
      <c r="E17" s="8" t="n">
        <v>818.41</v>
      </c>
      <c r="F17" s="8" t="n">
        <v>811.51</v>
      </c>
      <c r="G17" s="8" t="n">
        <v>803.47</v>
      </c>
      <c r="H17" s="8" t="n">
        <v>794.42</v>
      </c>
      <c r="I17" s="8" t="n">
        <v>784.48</v>
      </c>
      <c r="J17" s="8" t="n">
        <v>773.75</v>
      </c>
      <c r="K17" s="8" t="n">
        <v>762.3200000000001</v>
      </c>
      <c r="L17" s="8" t="n">
        <v>750.3</v>
      </c>
      <c r="M17" s="8" t="n">
        <v>737.76</v>
      </c>
      <c r="N17" s="8" t="n">
        <v>724.78</v>
      </c>
      <c r="O17" s="8" t="n">
        <v>711.4299999999999</v>
      </c>
      <c r="P17" s="8" t="n">
        <v>697.77</v>
      </c>
      <c r="Q17" s="8" t="n">
        <v>683.87</v>
      </c>
      <c r="R17" s="8" t="n">
        <v>669.77</v>
      </c>
      <c r="S17" s="8" t="n">
        <v>655.53</v>
      </c>
      <c r="T17" s="8" t="n">
        <v>641.1900000000001</v>
      </c>
      <c r="U17" s="8" t="n">
        <v>626.8</v>
      </c>
      <c r="V17" s="8" t="n">
        <v>612.38</v>
      </c>
      <c r="W17" s="8" t="n">
        <v>440.51</v>
      </c>
      <c r="X17" s="8" t="n">
        <v>435.63</v>
      </c>
      <c r="Y17" s="8" t="n">
        <v>430.24</v>
      </c>
      <c r="Z17" s="8" t="n">
        <v>424.42</v>
      </c>
      <c r="AA17" s="8" t="n">
        <v>418.21</v>
      </c>
    </row>
    <row r="18">
      <c r="A18" s="4" t="inlineStr">
        <is>
          <t>Cumulative NPV ($)</t>
        </is>
      </c>
      <c r="B18" s="8" t="n">
        <v>0</v>
      </c>
      <c r="C18" s="8" t="n">
        <v>828.26</v>
      </c>
      <c r="D18" s="8" t="n">
        <v>1652.3</v>
      </c>
      <c r="E18" s="8" t="n">
        <v>2470.71</v>
      </c>
      <c r="F18" s="8" t="n">
        <v>3282.23</v>
      </c>
      <c r="G18" s="8" t="n">
        <v>4085.7</v>
      </c>
      <c r="H18" s="8" t="n">
        <v>4880.13</v>
      </c>
      <c r="I18" s="8" t="n">
        <v>5664.61</v>
      </c>
      <c r="J18" s="8" t="n">
        <v>6438.35</v>
      </c>
      <c r="K18" s="8" t="n">
        <v>7200.67</v>
      </c>
      <c r="L18" s="8" t="n">
        <v>7950.97</v>
      </c>
      <c r="M18" s="8" t="n">
        <v>8688.73</v>
      </c>
      <c r="N18" s="8" t="n">
        <v>9413.5</v>
      </c>
      <c r="O18" s="8" t="n">
        <v>10124.93</v>
      </c>
      <c r="P18" s="8" t="n">
        <v>10822.7</v>
      </c>
      <c r="Q18" s="8" t="n">
        <v>11506.56</v>
      </c>
      <c r="R18" s="8" t="n">
        <v>12176.33</v>
      </c>
      <c r="S18" s="8" t="n">
        <v>12831.86</v>
      </c>
      <c r="T18" s="8" t="n">
        <v>13473.06</v>
      </c>
      <c r="U18" s="8" t="n">
        <v>14099.86</v>
      </c>
      <c r="V18" s="8" t="n">
        <v>14712.24</v>
      </c>
      <c r="W18" s="8" t="n">
        <v>15152.75</v>
      </c>
      <c r="X18" s="8" t="n">
        <v>15588.38</v>
      </c>
      <c r="Y18" s="8" t="n">
        <v>16018.62</v>
      </c>
      <c r="Z18" s="8" t="n">
        <v>16443.04</v>
      </c>
      <c r="AA18" s="8" t="n">
        <v>16861.25</v>
      </c>
    </row>
    <row r="19"/>
    <row r="20"/>
    <row r="21">
      <c r="A21" s="10" t="inlineStr">
        <is>
          <t>NGrid PVS — State+SMART</t>
        </is>
      </c>
    </row>
    <row r="22">
      <c r="A22" s="2" t="inlineStr">
        <is>
          <t>Debt: $35,797 | PMT: $3,138/yr | Bill Savings Y1: $2,065</t>
        </is>
      </c>
    </row>
    <row r="23">
      <c r="A23" s="11" t="inlineStr">
        <is>
          <t>Year</t>
        </is>
      </c>
      <c r="B23" s="11" t="n">
        <v>0</v>
      </c>
      <c r="C23" s="11" t="n">
        <v>1</v>
      </c>
      <c r="D23" s="11" t="n">
        <v>2</v>
      </c>
      <c r="E23" s="11" t="n">
        <v>3</v>
      </c>
      <c r="F23" s="11" t="n">
        <v>4</v>
      </c>
      <c r="G23" s="11" t="n">
        <v>5</v>
      </c>
      <c r="H23" s="11" t="n">
        <v>6</v>
      </c>
      <c r="I23" s="11" t="n">
        <v>7</v>
      </c>
      <c r="J23" s="11" t="n">
        <v>8</v>
      </c>
      <c r="K23" s="11" t="n">
        <v>9</v>
      </c>
      <c r="L23" s="11" t="n">
        <v>10</v>
      </c>
      <c r="M23" s="11" t="n">
        <v>11</v>
      </c>
      <c r="N23" s="11" t="n">
        <v>12</v>
      </c>
      <c r="O23" s="11" t="n">
        <v>13</v>
      </c>
      <c r="P23" s="11" t="n">
        <v>14</v>
      </c>
      <c r="Q23" s="11" t="n">
        <v>15</v>
      </c>
      <c r="R23" s="11" t="n">
        <v>16</v>
      </c>
      <c r="S23" s="11" t="n">
        <v>17</v>
      </c>
      <c r="T23" s="11" t="n">
        <v>18</v>
      </c>
      <c r="U23" s="11" t="n">
        <v>19</v>
      </c>
      <c r="V23" s="11" t="n">
        <v>20</v>
      </c>
      <c r="W23" s="11" t="n">
        <v>21</v>
      </c>
      <c r="X23" s="11" t="n">
        <v>22</v>
      </c>
      <c r="Y23" s="11" t="n">
        <v>23</v>
      </c>
      <c r="Z23" s="11" t="n">
        <v>24</v>
      </c>
      <c r="AA23" s="11" t="n">
        <v>25</v>
      </c>
    </row>
    <row r="24">
      <c r="A24" s="4" t="inlineStr">
        <is>
          <t>Debt Balance ($)</t>
        </is>
      </c>
      <c r="B24" s="8" t="n">
        <v>35796.8</v>
      </c>
      <c r="C24" s="8" t="n">
        <v>35250.04</v>
      </c>
      <c r="D24" s="8" t="n">
        <v>34663.7</v>
      </c>
      <c r="E24" s="8" t="n">
        <v>34034.91</v>
      </c>
      <c r="F24" s="8" t="n">
        <v>33360.59</v>
      </c>
      <c r="G24" s="8" t="n">
        <v>32637.45</v>
      </c>
      <c r="H24" s="8" t="n">
        <v>31861.96</v>
      </c>
      <c r="I24" s="8" t="n">
        <v>31030.32</v>
      </c>
      <c r="J24" s="8" t="n">
        <v>30138.47</v>
      </c>
      <c r="K24" s="8" t="n">
        <v>29182.05</v>
      </c>
      <c r="L24" s="8" t="n">
        <v>28156.38</v>
      </c>
      <c r="M24" s="8" t="n">
        <v>27056.46</v>
      </c>
      <c r="N24" s="8" t="n">
        <v>25876.9</v>
      </c>
      <c r="O24" s="8" t="n">
        <v>24611.94</v>
      </c>
      <c r="P24" s="8" t="n">
        <v>23255.4</v>
      </c>
      <c r="Q24" s="8" t="n">
        <v>21800.64</v>
      </c>
      <c r="R24" s="8" t="n">
        <v>20240.57</v>
      </c>
      <c r="S24" s="8" t="n">
        <v>18567.54</v>
      </c>
      <c r="T24" s="8" t="n">
        <v>16773.38</v>
      </c>
      <c r="U24" s="8" t="n">
        <v>14849.33</v>
      </c>
      <c r="V24" s="8" t="n">
        <v>12785.97</v>
      </c>
      <c r="W24" s="8" t="n">
        <v>10573.23</v>
      </c>
      <c r="X24" s="8" t="n">
        <v>8200.290000000001</v>
      </c>
      <c r="Y24" s="8" t="n">
        <v>5655.55</v>
      </c>
      <c r="Z24" s="8" t="n">
        <v>2926.56</v>
      </c>
      <c r="AA24" s="8" t="n">
        <v>0</v>
      </c>
    </row>
    <row r="25">
      <c r="A25" s="4" t="inlineStr">
        <is>
          <t>Interest Payment ($)</t>
        </is>
      </c>
      <c r="B25" s="8" t="n">
        <v>0</v>
      </c>
      <c r="C25" s="8" t="n">
        <v>2591.69</v>
      </c>
      <c r="D25" s="8" t="n">
        <v>2552.1</v>
      </c>
      <c r="E25" s="8" t="n">
        <v>2509.65</v>
      </c>
      <c r="F25" s="8" t="n">
        <v>2464.13</v>
      </c>
      <c r="G25" s="8" t="n">
        <v>2415.31</v>
      </c>
      <c r="H25" s="8" t="n">
        <v>2362.95</v>
      </c>
      <c r="I25" s="8" t="n">
        <v>2306.81</v>
      </c>
      <c r="J25" s="8" t="n">
        <v>2246.59</v>
      </c>
      <c r="K25" s="8" t="n">
        <v>2182.02</v>
      </c>
      <c r="L25" s="8" t="n">
        <v>2112.78</v>
      </c>
      <c r="M25" s="8" t="n">
        <v>2038.52</v>
      </c>
      <c r="N25" s="8" t="n">
        <v>1958.89</v>
      </c>
      <c r="O25" s="8" t="n">
        <v>1873.49</v>
      </c>
      <c r="P25" s="8" t="n">
        <v>1781.9</v>
      </c>
      <c r="Q25" s="8" t="n">
        <v>1683.69</v>
      </c>
      <c r="R25" s="8" t="n">
        <v>1578.37</v>
      </c>
      <c r="S25" s="8" t="n">
        <v>1465.42</v>
      </c>
      <c r="T25" s="8" t="n">
        <v>1344.29</v>
      </c>
      <c r="U25" s="8" t="n">
        <v>1214.39</v>
      </c>
      <c r="V25" s="8" t="n">
        <v>1075.09</v>
      </c>
      <c r="W25" s="8" t="n">
        <v>925.7</v>
      </c>
      <c r="X25" s="8" t="n">
        <v>765.5</v>
      </c>
      <c r="Y25" s="8" t="n">
        <v>593.7</v>
      </c>
      <c r="Z25" s="8" t="n">
        <v>409.46</v>
      </c>
      <c r="AA25" s="8" t="n">
        <v>211.88</v>
      </c>
    </row>
    <row r="26">
      <c r="A26" s="4" t="inlineStr">
        <is>
          <t>Principal Payment ($)</t>
        </is>
      </c>
      <c r="B26" s="8" t="n">
        <v>0</v>
      </c>
      <c r="C26" s="8" t="n">
        <v>546.76</v>
      </c>
      <c r="D26" s="8" t="n">
        <v>586.34</v>
      </c>
      <c r="E26" s="8" t="n">
        <v>628.79</v>
      </c>
      <c r="F26" s="8" t="n">
        <v>674.3200000000001</v>
      </c>
      <c r="G26" s="8" t="n">
        <v>723.14</v>
      </c>
      <c r="H26" s="8" t="n">
        <v>775.49</v>
      </c>
      <c r="I26" s="8" t="n">
        <v>831.64</v>
      </c>
      <c r="J26" s="8" t="n">
        <v>891.85</v>
      </c>
      <c r="K26" s="8" t="n">
        <v>956.42</v>
      </c>
      <c r="L26" s="8" t="n">
        <v>1025.67</v>
      </c>
      <c r="M26" s="8" t="n">
        <v>1099.92</v>
      </c>
      <c r="N26" s="8" t="n">
        <v>1179.56</v>
      </c>
      <c r="O26" s="8" t="n">
        <v>1264.96</v>
      </c>
      <c r="P26" s="8" t="n">
        <v>1356.54</v>
      </c>
      <c r="Q26" s="8" t="n">
        <v>1454.75</v>
      </c>
      <c r="R26" s="8" t="n">
        <v>1560.08</v>
      </c>
      <c r="S26" s="8" t="n">
        <v>1673.03</v>
      </c>
      <c r="T26" s="8" t="n">
        <v>1794.16</v>
      </c>
      <c r="U26" s="8" t="n">
        <v>1924.05</v>
      </c>
      <c r="V26" s="8" t="n">
        <v>2063.35</v>
      </c>
      <c r="W26" s="8" t="n">
        <v>2212.74</v>
      </c>
      <c r="X26" s="8" t="n">
        <v>2372.94</v>
      </c>
      <c r="Y26" s="8" t="n">
        <v>2544.74</v>
      </c>
      <c r="Z26" s="8" t="n">
        <v>2728.98</v>
      </c>
      <c r="AA26" s="8" t="n">
        <v>2926.56</v>
      </c>
    </row>
    <row r="27">
      <c r="A27" s="4" t="inlineStr">
        <is>
          <t>Total P&amp;I Payment ($)</t>
        </is>
      </c>
      <c r="B27" s="8" t="n">
        <v>0</v>
      </c>
      <c r="C27" s="8" t="n">
        <v>3138.45</v>
      </c>
      <c r="D27" s="8" t="n">
        <v>3138.45</v>
      </c>
      <c r="E27" s="8" t="n">
        <v>3138.45</v>
      </c>
      <c r="F27" s="8" t="n">
        <v>3138.45</v>
      </c>
      <c r="G27" s="8" t="n">
        <v>3138.45</v>
      </c>
      <c r="H27" s="8" t="n">
        <v>3138.45</v>
      </c>
      <c r="I27" s="8" t="n">
        <v>3138.45</v>
      </c>
      <c r="J27" s="8" t="n">
        <v>3138.45</v>
      </c>
      <c r="K27" s="8" t="n">
        <v>3138.45</v>
      </c>
      <c r="L27" s="8" t="n">
        <v>3138.45</v>
      </c>
      <c r="M27" s="8" t="n">
        <v>3138.45</v>
      </c>
      <c r="N27" s="8" t="n">
        <v>3138.45</v>
      </c>
      <c r="O27" s="8" t="n">
        <v>3138.45</v>
      </c>
      <c r="P27" s="8" t="n">
        <v>3138.45</v>
      </c>
      <c r="Q27" s="8" t="n">
        <v>3138.45</v>
      </c>
      <c r="R27" s="8" t="n">
        <v>3138.45</v>
      </c>
      <c r="S27" s="8" t="n">
        <v>3138.45</v>
      </c>
      <c r="T27" s="8" t="n">
        <v>3138.45</v>
      </c>
      <c r="U27" s="8" t="n">
        <v>3138.45</v>
      </c>
      <c r="V27" s="8" t="n">
        <v>3138.45</v>
      </c>
      <c r="W27" s="8" t="n">
        <v>3138.45</v>
      </c>
      <c r="X27" s="8" t="n">
        <v>3138.45</v>
      </c>
      <c r="Y27" s="8" t="n">
        <v>3138.45</v>
      </c>
      <c r="Z27" s="8" t="n">
        <v>3138.45</v>
      </c>
      <c r="AA27" s="8" t="n">
        <v>3138.45</v>
      </c>
    </row>
    <row r="28">
      <c r="A28" s="4" t="inlineStr">
        <is>
          <t>Bill w/o System ($)</t>
        </is>
      </c>
      <c r="B28" s="8" t="n">
        <v>0</v>
      </c>
      <c r="C28" s="8" t="n">
        <v>3303.02</v>
      </c>
      <c r="D28" s="8" t="n">
        <v>3385.6</v>
      </c>
      <c r="E28" s="8" t="n">
        <v>3470.24</v>
      </c>
      <c r="F28" s="8" t="n">
        <v>3556.99</v>
      </c>
      <c r="G28" s="8" t="n">
        <v>3645.92</v>
      </c>
      <c r="H28" s="8" t="n">
        <v>3737.06</v>
      </c>
      <c r="I28" s="8" t="n">
        <v>3830.49</v>
      </c>
      <c r="J28" s="8" t="n">
        <v>3926.25</v>
      </c>
      <c r="K28" s="8" t="n">
        <v>4024.41</v>
      </c>
      <c r="L28" s="8" t="n">
        <v>4125.02</v>
      </c>
      <c r="M28" s="8" t="n">
        <v>4228.14</v>
      </c>
      <c r="N28" s="8" t="n">
        <v>4333.85</v>
      </c>
      <c r="O28" s="8" t="n">
        <v>4442.19</v>
      </c>
      <c r="P28" s="8" t="n">
        <v>4553.25</v>
      </c>
      <c r="Q28" s="8" t="n">
        <v>4667.08</v>
      </c>
      <c r="R28" s="8" t="n">
        <v>4783.76</v>
      </c>
      <c r="S28" s="8" t="n">
        <v>4903.35</v>
      </c>
      <c r="T28" s="8" t="n">
        <v>5025.94</v>
      </c>
      <c r="U28" s="8" t="n">
        <v>5151.58</v>
      </c>
      <c r="V28" s="8" t="n">
        <v>5280.37</v>
      </c>
      <c r="W28" s="8" t="n">
        <v>5412.38</v>
      </c>
      <c r="X28" s="8" t="n">
        <v>5547.69</v>
      </c>
      <c r="Y28" s="8" t="n">
        <v>5686.38</v>
      </c>
      <c r="Z28" s="8" t="n">
        <v>5828.54</v>
      </c>
      <c r="AA28" s="8" t="n">
        <v>5974.26</v>
      </c>
    </row>
    <row r="29">
      <c r="A29" s="4" t="inlineStr">
        <is>
          <t>Bill w/ System ($)</t>
        </is>
      </c>
      <c r="B29" s="8" t="n">
        <v>0</v>
      </c>
      <c r="C29" s="8" t="n">
        <v>1237.71</v>
      </c>
      <c r="D29" s="8" t="n">
        <v>1268.65</v>
      </c>
      <c r="E29" s="8" t="n">
        <v>1300.37</v>
      </c>
      <c r="F29" s="8" t="n">
        <v>1332.88</v>
      </c>
      <c r="G29" s="8" t="n">
        <v>1366.2</v>
      </c>
      <c r="H29" s="8" t="n">
        <v>1400.36</v>
      </c>
      <c r="I29" s="8" t="n">
        <v>1435.36</v>
      </c>
      <c r="J29" s="8" t="n">
        <v>1471.25</v>
      </c>
      <c r="K29" s="8" t="n">
        <v>1508.03</v>
      </c>
      <c r="L29" s="8" t="n">
        <v>1545.73</v>
      </c>
      <c r="M29" s="8" t="n">
        <v>1584.37</v>
      </c>
      <c r="N29" s="8" t="n">
        <v>1623.98</v>
      </c>
      <c r="O29" s="8" t="n">
        <v>1664.58</v>
      </c>
      <c r="P29" s="8" t="n">
        <v>1706.2</v>
      </c>
      <c r="Q29" s="8" t="n">
        <v>1748.85</v>
      </c>
      <c r="R29" s="8" t="n">
        <v>1792.57</v>
      </c>
      <c r="S29" s="8" t="n">
        <v>1837.39</v>
      </c>
      <c r="T29" s="8" t="n">
        <v>1883.32</v>
      </c>
      <c r="U29" s="8" t="n">
        <v>1930.41</v>
      </c>
      <c r="V29" s="8" t="n">
        <v>1978.67</v>
      </c>
      <c r="W29" s="8" t="n">
        <v>2028.13</v>
      </c>
      <c r="X29" s="8" t="n">
        <v>2078.84</v>
      </c>
      <c r="Y29" s="8" t="n">
        <v>2130.81</v>
      </c>
      <c r="Z29" s="8" t="n">
        <v>2184.08</v>
      </c>
      <c r="AA29" s="8" t="n">
        <v>2238.68</v>
      </c>
    </row>
    <row r="30">
      <c r="A30" s="4" t="inlineStr">
        <is>
          <t>Bill Savings ($)</t>
        </is>
      </c>
      <c r="B30" s="8" t="n">
        <v>0</v>
      </c>
      <c r="C30" s="8" t="n">
        <v>2065.31</v>
      </c>
      <c r="D30" s="8" t="n">
        <v>2065.31</v>
      </c>
      <c r="E30" s="8" t="n">
        <v>2065.31</v>
      </c>
      <c r="F30" s="8" t="n">
        <v>2065.31</v>
      </c>
      <c r="G30" s="8" t="n">
        <v>2065.31</v>
      </c>
      <c r="H30" s="8" t="n">
        <v>2065.31</v>
      </c>
      <c r="I30" s="8" t="n">
        <v>2065.31</v>
      </c>
      <c r="J30" s="8" t="n">
        <v>2065.31</v>
      </c>
      <c r="K30" s="8" t="n">
        <v>2065.31</v>
      </c>
      <c r="L30" s="8" t="n">
        <v>2065.31</v>
      </c>
      <c r="M30" s="8" t="n">
        <v>2065.31</v>
      </c>
      <c r="N30" s="8" t="n">
        <v>2065.31</v>
      </c>
      <c r="O30" s="8" t="n">
        <v>2065.31</v>
      </c>
      <c r="P30" s="8" t="n">
        <v>2065.31</v>
      </c>
      <c r="Q30" s="8" t="n">
        <v>2065.31</v>
      </c>
      <c r="R30" s="8" t="n">
        <v>2065.31</v>
      </c>
      <c r="S30" s="8" t="n">
        <v>2065.31</v>
      </c>
      <c r="T30" s="8" t="n">
        <v>2065.31</v>
      </c>
      <c r="U30" s="8" t="n">
        <v>2065.31</v>
      </c>
      <c r="V30" s="8" t="n">
        <v>2065.31</v>
      </c>
      <c r="W30" s="8" t="n">
        <v>2065.31</v>
      </c>
      <c r="X30" s="8" t="n">
        <v>2065.31</v>
      </c>
      <c r="Y30" s="8" t="n">
        <v>2065.31</v>
      </c>
      <c r="Z30" s="8" t="n">
        <v>2065.31</v>
      </c>
      <c r="AA30" s="8" t="n">
        <v>2065.31</v>
      </c>
    </row>
    <row r="31">
      <c r="A31" s="4" t="inlineStr">
        <is>
          <t>Escalated Bill Savings ($)</t>
        </is>
      </c>
      <c r="B31" s="8" t="n">
        <v>0</v>
      </c>
      <c r="C31" s="8" t="n">
        <v>2065.31</v>
      </c>
      <c r="D31" s="8" t="n">
        <v>2116.94</v>
      </c>
      <c r="E31" s="8" t="n">
        <v>2169.87</v>
      </c>
      <c r="F31" s="8" t="n">
        <v>2224.11</v>
      </c>
      <c r="G31" s="8" t="n">
        <v>2279.72</v>
      </c>
      <c r="H31" s="8" t="n">
        <v>2336.71</v>
      </c>
      <c r="I31" s="8" t="n">
        <v>2395.13</v>
      </c>
      <c r="J31" s="8" t="n">
        <v>2455</v>
      </c>
      <c r="K31" s="8" t="n">
        <v>2516.38</v>
      </c>
      <c r="L31" s="8" t="n">
        <v>2579.29</v>
      </c>
      <c r="M31" s="8" t="n">
        <v>2643.77</v>
      </c>
      <c r="N31" s="8" t="n">
        <v>2709.87</v>
      </c>
      <c r="O31" s="8" t="n">
        <v>2777.61</v>
      </c>
      <c r="P31" s="8" t="n">
        <v>2847.05</v>
      </c>
      <c r="Q31" s="8" t="n">
        <v>2918.23</v>
      </c>
      <c r="R31" s="8" t="n">
        <v>2991.18</v>
      </c>
      <c r="S31" s="8" t="n">
        <v>3065.96</v>
      </c>
      <c r="T31" s="8" t="n">
        <v>3142.61</v>
      </c>
      <c r="U31" s="8" t="n">
        <v>3221.18</v>
      </c>
      <c r="V31" s="8" t="n">
        <v>3301.71</v>
      </c>
      <c r="W31" s="8" t="n">
        <v>3384.25</v>
      </c>
      <c r="X31" s="8" t="n">
        <v>3468.86</v>
      </c>
      <c r="Y31" s="8" t="n">
        <v>3555.58</v>
      </c>
      <c r="Z31" s="8" t="n">
        <v>3644.47</v>
      </c>
      <c r="AA31" s="8" t="n">
        <v>3735.58</v>
      </c>
    </row>
    <row r="32">
      <c r="A32" s="4" t="inlineStr">
        <is>
          <t>SMART Annual ($)</t>
        </is>
      </c>
      <c r="B32" s="8" t="n">
        <v>0</v>
      </c>
      <c r="C32" s="8" t="n">
        <v>579.4</v>
      </c>
      <c r="D32" s="8" t="n">
        <v>579.4</v>
      </c>
      <c r="E32" s="8" t="n">
        <v>579.4</v>
      </c>
      <c r="F32" s="8" t="n">
        <v>579.4</v>
      </c>
      <c r="G32" s="8" t="n">
        <v>579.4</v>
      </c>
      <c r="H32" s="8" t="n">
        <v>579.4</v>
      </c>
      <c r="I32" s="8" t="n">
        <v>579.4</v>
      </c>
      <c r="J32" s="8" t="n">
        <v>579.4</v>
      </c>
      <c r="K32" s="8" t="n">
        <v>579.4</v>
      </c>
      <c r="L32" s="8" t="n">
        <v>579.4</v>
      </c>
      <c r="M32" s="8" t="n">
        <v>579.4</v>
      </c>
      <c r="N32" s="8" t="n">
        <v>579.4</v>
      </c>
      <c r="O32" s="8" t="n">
        <v>579.4</v>
      </c>
      <c r="P32" s="8" t="n">
        <v>579.4</v>
      </c>
      <c r="Q32" s="8" t="n">
        <v>579.4</v>
      </c>
      <c r="R32" s="8" t="n">
        <v>579.4</v>
      </c>
      <c r="S32" s="8" t="n">
        <v>579.4</v>
      </c>
      <c r="T32" s="8" t="n">
        <v>579.4</v>
      </c>
      <c r="U32" s="8" t="n">
        <v>579.4</v>
      </c>
      <c r="V32" s="8" t="n">
        <v>579.4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</row>
    <row r="33">
      <c r="A33" s="4" t="inlineStr">
        <is>
          <t>ConnectedSolutions ($)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</row>
    <row r="34">
      <c r="A34" s="4" t="inlineStr">
        <is>
          <t>Total Incentive Annual ($)</t>
        </is>
      </c>
      <c r="B34" s="8" t="n">
        <v>0</v>
      </c>
      <c r="C34" s="8" t="n">
        <v>579.4</v>
      </c>
      <c r="D34" s="8" t="n">
        <v>579.4</v>
      </c>
      <c r="E34" s="8" t="n">
        <v>579.4</v>
      </c>
      <c r="F34" s="8" t="n">
        <v>579.4</v>
      </c>
      <c r="G34" s="8" t="n">
        <v>579.4</v>
      </c>
      <c r="H34" s="8" t="n">
        <v>579.4</v>
      </c>
      <c r="I34" s="8" t="n">
        <v>579.4</v>
      </c>
      <c r="J34" s="8" t="n">
        <v>579.4</v>
      </c>
      <c r="K34" s="8" t="n">
        <v>579.4</v>
      </c>
      <c r="L34" s="8" t="n">
        <v>579.4</v>
      </c>
      <c r="M34" s="8" t="n">
        <v>579.4</v>
      </c>
      <c r="N34" s="8" t="n">
        <v>579.4</v>
      </c>
      <c r="O34" s="8" t="n">
        <v>579.4</v>
      </c>
      <c r="P34" s="8" t="n">
        <v>579.4</v>
      </c>
      <c r="Q34" s="8" t="n">
        <v>579.4</v>
      </c>
      <c r="R34" s="8" t="n">
        <v>579.4</v>
      </c>
      <c r="S34" s="8" t="n">
        <v>579.4</v>
      </c>
      <c r="T34" s="8" t="n">
        <v>579.4</v>
      </c>
      <c r="U34" s="8" t="n">
        <v>579.4</v>
      </c>
      <c r="V34" s="8" t="n">
        <v>579.4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</row>
    <row r="35">
      <c r="A35" s="11" t="inlineStr">
        <is>
          <t>Simple Payback (yr)</t>
        </is>
      </c>
      <c r="B35" s="14">
        <f>IF((C30+C31)&gt;0,B24/(C30+C31),"N/A")</f>
        <v/>
      </c>
      <c r="C35" s="8" t="n">
        <v>2644.71</v>
      </c>
      <c r="D35" s="8" t="n">
        <v>2696.34</v>
      </c>
      <c r="E35" s="8" t="n">
        <v>2749.27</v>
      </c>
      <c r="F35" s="8" t="n">
        <v>2803.51</v>
      </c>
      <c r="G35" s="8" t="n">
        <v>2859.12</v>
      </c>
      <c r="H35" s="8" t="n">
        <v>2916.11</v>
      </c>
      <c r="I35" s="8" t="n">
        <v>2974.53</v>
      </c>
      <c r="J35" s="8" t="n">
        <v>3034.4</v>
      </c>
      <c r="K35" s="8" t="n">
        <v>3095.78</v>
      </c>
      <c r="L35" s="8" t="n">
        <v>3158.69</v>
      </c>
      <c r="M35" s="8" t="n">
        <v>3223.17</v>
      </c>
      <c r="N35" s="8" t="n">
        <v>3289.27</v>
      </c>
      <c r="O35" s="8" t="n">
        <v>3357.01</v>
      </c>
      <c r="P35" s="8" t="n">
        <v>3426.45</v>
      </c>
      <c r="Q35" s="8" t="n">
        <v>3497.63</v>
      </c>
      <c r="R35" s="8" t="n">
        <v>3570.58</v>
      </c>
      <c r="S35" s="8" t="n">
        <v>3645.36</v>
      </c>
      <c r="T35" s="8" t="n">
        <v>3722.01</v>
      </c>
      <c r="U35" s="8" t="n">
        <v>3800.58</v>
      </c>
      <c r="V35" s="8" t="n">
        <v>3881.11</v>
      </c>
      <c r="W35" s="8" t="n">
        <v>3384.25</v>
      </c>
      <c r="X35" s="8" t="n">
        <v>3468.86</v>
      </c>
      <c r="Y35" s="8" t="n">
        <v>3555.58</v>
      </c>
      <c r="Z35" s="8" t="n">
        <v>3644.47</v>
      </c>
      <c r="AA35" s="8" t="n">
        <v>3735.58</v>
      </c>
    </row>
    <row r="36">
      <c r="A36" s="11" t="inlineStr">
        <is>
          <t>NPV Breakeven Year</t>
        </is>
      </c>
      <c r="B36" s="15" t="inlineStr">
        <is>
          <t>See Cumulative NPV row 34 for first year ≥ 0</t>
        </is>
      </c>
      <c r="C36" s="13" t="n">
        <v>-493.74</v>
      </c>
      <c r="D36" s="13" t="n">
        <v>-442.1</v>
      </c>
      <c r="E36" s="13" t="n">
        <v>-389.18</v>
      </c>
      <c r="F36" s="13" t="n">
        <v>-334.93</v>
      </c>
      <c r="G36" s="13" t="n">
        <v>-279.33</v>
      </c>
      <c r="H36" s="13" t="n">
        <v>-222.34</v>
      </c>
      <c r="I36" s="13" t="n">
        <v>-163.92</v>
      </c>
      <c r="J36" s="13" t="n">
        <v>-104.04</v>
      </c>
      <c r="K36" s="13" t="n">
        <v>-42.67</v>
      </c>
      <c r="L36" s="12" t="n">
        <v>20.24</v>
      </c>
      <c r="M36" s="12" t="n">
        <v>84.73</v>
      </c>
      <c r="N36" s="12" t="n">
        <v>150.82</v>
      </c>
      <c r="O36" s="12" t="n">
        <v>218.57</v>
      </c>
      <c r="P36" s="12" t="n">
        <v>288.01</v>
      </c>
      <c r="Q36" s="12" t="n">
        <v>359.18</v>
      </c>
      <c r="R36" s="12" t="n">
        <v>432.14</v>
      </c>
      <c r="S36" s="12" t="n">
        <v>506.92</v>
      </c>
      <c r="T36" s="12" t="n">
        <v>583.5700000000001</v>
      </c>
      <c r="U36" s="12" t="n">
        <v>662.13</v>
      </c>
      <c r="V36" s="12" t="n">
        <v>742.66</v>
      </c>
      <c r="W36" s="12" t="n">
        <v>245.81</v>
      </c>
      <c r="X36" s="12" t="n">
        <v>330.41</v>
      </c>
      <c r="Y36" s="12" t="n">
        <v>417.13</v>
      </c>
      <c r="Z36" s="12" t="n">
        <v>506.02</v>
      </c>
      <c r="AA36" s="12" t="n">
        <v>597.13</v>
      </c>
    </row>
    <row r="37">
      <c r="A37" s="4" t="inlineStr">
        <is>
          <t>Discounted Net Savings ($)</t>
        </is>
      </c>
      <c r="B37" s="8" t="n">
        <v>0</v>
      </c>
      <c r="C37" s="8" t="n">
        <v>-464.04</v>
      </c>
      <c r="D37" s="8" t="n">
        <v>-390.52</v>
      </c>
      <c r="E37" s="8" t="n">
        <v>-323.09</v>
      </c>
      <c r="F37" s="8" t="n">
        <v>-261.33</v>
      </c>
      <c r="G37" s="8" t="n">
        <v>-204.84</v>
      </c>
      <c r="H37" s="8" t="n">
        <v>-153.24</v>
      </c>
      <c r="I37" s="8" t="n">
        <v>-106.18</v>
      </c>
      <c r="J37" s="8" t="n">
        <v>-63.34</v>
      </c>
      <c r="K37" s="8" t="n">
        <v>-24.41</v>
      </c>
      <c r="L37" s="8" t="n">
        <v>10.89</v>
      </c>
      <c r="M37" s="8" t="n">
        <v>42.82</v>
      </c>
      <c r="N37" s="8" t="n">
        <v>71.64</v>
      </c>
      <c r="O37" s="8" t="n">
        <v>97.58</v>
      </c>
      <c r="P37" s="8" t="n">
        <v>120.84</v>
      </c>
      <c r="Q37" s="8" t="n">
        <v>141.64</v>
      </c>
      <c r="R37" s="8" t="n">
        <v>160.16</v>
      </c>
      <c r="S37" s="8" t="n">
        <v>176.58</v>
      </c>
      <c r="T37" s="8" t="n">
        <v>191.05</v>
      </c>
      <c r="U37" s="8" t="n">
        <v>203.73</v>
      </c>
      <c r="V37" s="8" t="n">
        <v>214.76</v>
      </c>
      <c r="W37" s="8" t="n">
        <v>66.81</v>
      </c>
      <c r="X37" s="8" t="n">
        <v>84.40000000000001</v>
      </c>
      <c r="Y37" s="8" t="n">
        <v>100.14</v>
      </c>
      <c r="Z37" s="8" t="n">
        <v>114.17</v>
      </c>
      <c r="AA37" s="8" t="n">
        <v>126.63</v>
      </c>
    </row>
    <row r="38">
      <c r="A38" s="4" t="inlineStr">
        <is>
          <t>Cumulative NPV ($)</t>
        </is>
      </c>
      <c r="B38" s="8" t="n">
        <v>0</v>
      </c>
      <c r="C38" s="8" t="n">
        <v>-464.04</v>
      </c>
      <c r="D38" s="8" t="n">
        <v>-854.55</v>
      </c>
      <c r="E38" s="8" t="n">
        <v>-1177.64</v>
      </c>
      <c r="F38" s="8" t="n">
        <v>-1438.98</v>
      </c>
      <c r="G38" s="8" t="n">
        <v>-1643.81</v>
      </c>
      <c r="H38" s="8" t="n">
        <v>-1797.05</v>
      </c>
      <c r="I38" s="8" t="n">
        <v>-1903.23</v>
      </c>
      <c r="J38" s="8" t="n">
        <v>-1966.57</v>
      </c>
      <c r="K38" s="8" t="n">
        <v>-1990.98</v>
      </c>
      <c r="L38" s="8" t="n">
        <v>-1980.09</v>
      </c>
      <c r="M38" s="8" t="n">
        <v>-1937.27</v>
      </c>
      <c r="N38" s="8" t="n">
        <v>-1865.63</v>
      </c>
      <c r="O38" s="8" t="n">
        <v>-1768.05</v>
      </c>
      <c r="P38" s="8" t="n">
        <v>-1647.21</v>
      </c>
      <c r="Q38" s="8" t="n">
        <v>-1505.57</v>
      </c>
      <c r="R38" s="8" t="n">
        <v>-1345.41</v>
      </c>
      <c r="S38" s="8" t="n">
        <v>-1168.83</v>
      </c>
      <c r="T38" s="8" t="n">
        <v>-977.79</v>
      </c>
      <c r="U38" s="8" t="n">
        <v>-774.0599999999999</v>
      </c>
      <c r="V38" s="8" t="n">
        <v>-559.29</v>
      </c>
      <c r="W38" s="8" t="n">
        <v>-492.49</v>
      </c>
      <c r="X38" s="8" t="n">
        <v>-408.09</v>
      </c>
      <c r="Y38" s="8" t="n">
        <v>-307.94</v>
      </c>
      <c r="Z38" s="8" t="n">
        <v>-193.77</v>
      </c>
      <c r="AA38" s="8" t="n">
        <v>-67.14</v>
      </c>
    </row>
    <row r="39"/>
    <row r="40"/>
    <row r="41">
      <c r="A41" s="10" t="inlineStr">
        <is>
          <t>NGrid PVS — No Incentives</t>
        </is>
      </c>
    </row>
    <row r="42">
      <c r="A42" s="2" t="inlineStr">
        <is>
          <t>Debt: $36,797 | PMT: $3,226/yr | Bill Savings Y1: $2,065</t>
        </is>
      </c>
    </row>
    <row r="43">
      <c r="A43" s="11" t="inlineStr">
        <is>
          <t>Year</t>
        </is>
      </c>
      <c r="B43" s="11" t="n">
        <v>0</v>
      </c>
      <c r="C43" s="11" t="n">
        <v>1</v>
      </c>
      <c r="D43" s="11" t="n">
        <v>2</v>
      </c>
      <c r="E43" s="11" t="n">
        <v>3</v>
      </c>
      <c r="F43" s="11" t="n">
        <v>4</v>
      </c>
      <c r="G43" s="11" t="n">
        <v>5</v>
      </c>
      <c r="H43" s="11" t="n">
        <v>6</v>
      </c>
      <c r="I43" s="11" t="n">
        <v>7</v>
      </c>
      <c r="J43" s="11" t="n">
        <v>8</v>
      </c>
      <c r="K43" s="11" t="n">
        <v>9</v>
      </c>
      <c r="L43" s="11" t="n">
        <v>10</v>
      </c>
      <c r="M43" s="11" t="n">
        <v>11</v>
      </c>
      <c r="N43" s="11" t="n">
        <v>12</v>
      </c>
      <c r="O43" s="11" t="n">
        <v>13</v>
      </c>
      <c r="P43" s="11" t="n">
        <v>14</v>
      </c>
      <c r="Q43" s="11" t="n">
        <v>15</v>
      </c>
      <c r="R43" s="11" t="n">
        <v>16</v>
      </c>
      <c r="S43" s="11" t="n">
        <v>17</v>
      </c>
      <c r="T43" s="11" t="n">
        <v>18</v>
      </c>
      <c r="U43" s="11" t="n">
        <v>19</v>
      </c>
      <c r="V43" s="11" t="n">
        <v>20</v>
      </c>
      <c r="W43" s="11" t="n">
        <v>21</v>
      </c>
      <c r="X43" s="11" t="n">
        <v>22</v>
      </c>
      <c r="Y43" s="11" t="n">
        <v>23</v>
      </c>
      <c r="Z43" s="11" t="n">
        <v>24</v>
      </c>
      <c r="AA43" s="11" t="n">
        <v>25</v>
      </c>
    </row>
    <row r="44">
      <c r="A44" s="4" t="inlineStr">
        <is>
          <t>Debt Balance ($)</t>
        </is>
      </c>
      <c r="B44" s="8" t="n">
        <v>36796.8</v>
      </c>
      <c r="C44" s="8" t="n">
        <v>36234.77</v>
      </c>
      <c r="D44" s="8" t="n">
        <v>35632.05</v>
      </c>
      <c r="E44" s="8" t="n">
        <v>34985.69</v>
      </c>
      <c r="F44" s="8" t="n">
        <v>34292.53</v>
      </c>
      <c r="G44" s="8" t="n">
        <v>33549.19</v>
      </c>
      <c r="H44" s="8" t="n">
        <v>32752.03</v>
      </c>
      <c r="I44" s="8" t="n">
        <v>31897.16</v>
      </c>
      <c r="J44" s="8" t="n">
        <v>30980.4</v>
      </c>
      <c r="K44" s="8" t="n">
        <v>29997.26</v>
      </c>
      <c r="L44" s="8" t="n">
        <v>28942.94</v>
      </c>
      <c r="M44" s="8" t="n">
        <v>27812.29</v>
      </c>
      <c r="N44" s="8" t="n">
        <v>26599.78</v>
      </c>
      <c r="O44" s="8" t="n">
        <v>25299.49</v>
      </c>
      <c r="P44" s="8" t="n">
        <v>23905.05</v>
      </c>
      <c r="Q44" s="8" t="n">
        <v>22409.66</v>
      </c>
      <c r="R44" s="8" t="n">
        <v>20806</v>
      </c>
      <c r="S44" s="8" t="n">
        <v>19086.23</v>
      </c>
      <c r="T44" s="8" t="n">
        <v>17241.95</v>
      </c>
      <c r="U44" s="8" t="n">
        <v>15264.15</v>
      </c>
      <c r="V44" s="8" t="n">
        <v>13143.16</v>
      </c>
      <c r="W44" s="8" t="n">
        <v>10868.6</v>
      </c>
      <c r="X44" s="8" t="n">
        <v>8429.370000000001</v>
      </c>
      <c r="Y44" s="8" t="n">
        <v>5813.54</v>
      </c>
      <c r="Z44" s="8" t="n">
        <v>3008.32</v>
      </c>
      <c r="AA44" s="8" t="n">
        <v>0</v>
      </c>
    </row>
    <row r="45">
      <c r="A45" s="4" t="inlineStr">
        <is>
          <t>Interest Payment ($)</t>
        </is>
      </c>
      <c r="B45" s="8" t="n">
        <v>0</v>
      </c>
      <c r="C45" s="8" t="n">
        <v>2664.09</v>
      </c>
      <c r="D45" s="8" t="n">
        <v>2623.4</v>
      </c>
      <c r="E45" s="8" t="n">
        <v>2579.76</v>
      </c>
      <c r="F45" s="8" t="n">
        <v>2532.96</v>
      </c>
      <c r="G45" s="8" t="n">
        <v>2482.78</v>
      </c>
      <c r="H45" s="8" t="n">
        <v>2428.96</v>
      </c>
      <c r="I45" s="8" t="n">
        <v>2371.25</v>
      </c>
      <c r="J45" s="8" t="n">
        <v>2309.35</v>
      </c>
      <c r="K45" s="8" t="n">
        <v>2242.98</v>
      </c>
      <c r="L45" s="8" t="n">
        <v>2171.8</v>
      </c>
      <c r="M45" s="8" t="n">
        <v>2095.47</v>
      </c>
      <c r="N45" s="8" t="n">
        <v>2013.61</v>
      </c>
      <c r="O45" s="8" t="n">
        <v>1925.82</v>
      </c>
      <c r="P45" s="8" t="n">
        <v>1831.68</v>
      </c>
      <c r="Q45" s="8" t="n">
        <v>1730.73</v>
      </c>
      <c r="R45" s="8" t="n">
        <v>1622.46</v>
      </c>
      <c r="S45" s="8" t="n">
        <v>1506.35</v>
      </c>
      <c r="T45" s="8" t="n">
        <v>1381.84</v>
      </c>
      <c r="U45" s="8" t="n">
        <v>1248.32</v>
      </c>
      <c r="V45" s="8" t="n">
        <v>1105.12</v>
      </c>
      <c r="W45" s="8" t="n">
        <v>951.5599999999999</v>
      </c>
      <c r="X45" s="8" t="n">
        <v>786.89</v>
      </c>
      <c r="Y45" s="8" t="n">
        <v>610.29</v>
      </c>
      <c r="Z45" s="8" t="n">
        <v>420.9</v>
      </c>
      <c r="AA45" s="8" t="n">
        <v>217.8</v>
      </c>
    </row>
    <row r="46">
      <c r="A46" s="4" t="inlineStr">
        <is>
          <t>Principal Payment ($)</t>
        </is>
      </c>
      <c r="B46" s="8" t="n">
        <v>0</v>
      </c>
      <c r="C46" s="8" t="n">
        <v>562.03</v>
      </c>
      <c r="D46" s="8" t="n">
        <v>602.72</v>
      </c>
      <c r="E46" s="8" t="n">
        <v>646.36</v>
      </c>
      <c r="F46" s="8" t="n">
        <v>693.16</v>
      </c>
      <c r="G46" s="8" t="n">
        <v>743.34</v>
      </c>
      <c r="H46" s="8" t="n">
        <v>797.16</v>
      </c>
      <c r="I46" s="8" t="n">
        <v>854.87</v>
      </c>
      <c r="J46" s="8" t="n">
        <v>916.76</v>
      </c>
      <c r="K46" s="8" t="n">
        <v>983.14</v>
      </c>
      <c r="L46" s="8" t="n">
        <v>1054.32</v>
      </c>
      <c r="M46" s="8" t="n">
        <v>1130.65</v>
      </c>
      <c r="N46" s="8" t="n">
        <v>1212.51</v>
      </c>
      <c r="O46" s="8" t="n">
        <v>1300.3</v>
      </c>
      <c r="P46" s="8" t="n">
        <v>1394.44</v>
      </c>
      <c r="Q46" s="8" t="n">
        <v>1495.39</v>
      </c>
      <c r="R46" s="8" t="n">
        <v>1603.66</v>
      </c>
      <c r="S46" s="8" t="n">
        <v>1719.77</v>
      </c>
      <c r="T46" s="8" t="n">
        <v>1844.28</v>
      </c>
      <c r="U46" s="8" t="n">
        <v>1977.8</v>
      </c>
      <c r="V46" s="8" t="n">
        <v>2120.99</v>
      </c>
      <c r="W46" s="8" t="n">
        <v>2274.55</v>
      </c>
      <c r="X46" s="8" t="n">
        <v>2439.23</v>
      </c>
      <c r="Y46" s="8" t="n">
        <v>2615.83</v>
      </c>
      <c r="Z46" s="8" t="n">
        <v>2805.22</v>
      </c>
      <c r="AA46" s="8" t="n">
        <v>3008.32</v>
      </c>
    </row>
    <row r="47">
      <c r="A47" s="4" t="inlineStr">
        <is>
          <t>Total P&amp;I Payment ($)</t>
        </is>
      </c>
      <c r="B47" s="8" t="n">
        <v>0</v>
      </c>
      <c r="C47" s="8" t="n">
        <v>3226.12</v>
      </c>
      <c r="D47" s="8" t="n">
        <v>3226.12</v>
      </c>
      <c r="E47" s="8" t="n">
        <v>3226.12</v>
      </c>
      <c r="F47" s="8" t="n">
        <v>3226.12</v>
      </c>
      <c r="G47" s="8" t="n">
        <v>3226.12</v>
      </c>
      <c r="H47" s="8" t="n">
        <v>3226.12</v>
      </c>
      <c r="I47" s="8" t="n">
        <v>3226.12</v>
      </c>
      <c r="J47" s="8" t="n">
        <v>3226.12</v>
      </c>
      <c r="K47" s="8" t="n">
        <v>3226.12</v>
      </c>
      <c r="L47" s="8" t="n">
        <v>3226.12</v>
      </c>
      <c r="M47" s="8" t="n">
        <v>3226.12</v>
      </c>
      <c r="N47" s="8" t="n">
        <v>3226.12</v>
      </c>
      <c r="O47" s="8" t="n">
        <v>3226.12</v>
      </c>
      <c r="P47" s="8" t="n">
        <v>3226.12</v>
      </c>
      <c r="Q47" s="8" t="n">
        <v>3226.12</v>
      </c>
      <c r="R47" s="8" t="n">
        <v>3226.12</v>
      </c>
      <c r="S47" s="8" t="n">
        <v>3226.12</v>
      </c>
      <c r="T47" s="8" t="n">
        <v>3226.12</v>
      </c>
      <c r="U47" s="8" t="n">
        <v>3226.12</v>
      </c>
      <c r="V47" s="8" t="n">
        <v>3226.12</v>
      </c>
      <c r="W47" s="8" t="n">
        <v>3226.12</v>
      </c>
      <c r="X47" s="8" t="n">
        <v>3226.12</v>
      </c>
      <c r="Y47" s="8" t="n">
        <v>3226.12</v>
      </c>
      <c r="Z47" s="8" t="n">
        <v>3226.12</v>
      </c>
      <c r="AA47" s="8" t="n">
        <v>3226.12</v>
      </c>
    </row>
    <row r="48">
      <c r="A48" s="4" t="inlineStr">
        <is>
          <t>Bill w/o System ($)</t>
        </is>
      </c>
      <c r="B48" s="8" t="n">
        <v>0</v>
      </c>
      <c r="C48" s="8" t="n">
        <v>3303.02</v>
      </c>
      <c r="D48" s="8" t="n">
        <v>3385.6</v>
      </c>
      <c r="E48" s="8" t="n">
        <v>3470.24</v>
      </c>
      <c r="F48" s="8" t="n">
        <v>3556.99</v>
      </c>
      <c r="G48" s="8" t="n">
        <v>3645.92</v>
      </c>
      <c r="H48" s="8" t="n">
        <v>3737.06</v>
      </c>
      <c r="I48" s="8" t="n">
        <v>3830.49</v>
      </c>
      <c r="J48" s="8" t="n">
        <v>3926.25</v>
      </c>
      <c r="K48" s="8" t="n">
        <v>4024.41</v>
      </c>
      <c r="L48" s="8" t="n">
        <v>4125.02</v>
      </c>
      <c r="M48" s="8" t="n">
        <v>4228.14</v>
      </c>
      <c r="N48" s="8" t="n">
        <v>4333.85</v>
      </c>
      <c r="O48" s="8" t="n">
        <v>4442.19</v>
      </c>
      <c r="P48" s="8" t="n">
        <v>4553.25</v>
      </c>
      <c r="Q48" s="8" t="n">
        <v>4667.08</v>
      </c>
      <c r="R48" s="8" t="n">
        <v>4783.76</v>
      </c>
      <c r="S48" s="8" t="n">
        <v>4903.35</v>
      </c>
      <c r="T48" s="8" t="n">
        <v>5025.94</v>
      </c>
      <c r="U48" s="8" t="n">
        <v>5151.58</v>
      </c>
      <c r="V48" s="8" t="n">
        <v>5280.37</v>
      </c>
      <c r="W48" s="8" t="n">
        <v>5412.38</v>
      </c>
      <c r="X48" s="8" t="n">
        <v>5547.69</v>
      </c>
      <c r="Y48" s="8" t="n">
        <v>5686.38</v>
      </c>
      <c r="Z48" s="8" t="n">
        <v>5828.54</v>
      </c>
      <c r="AA48" s="8" t="n">
        <v>5974.26</v>
      </c>
    </row>
    <row r="49">
      <c r="A49" s="4" t="inlineStr">
        <is>
          <t>Bill w/ System ($)</t>
        </is>
      </c>
      <c r="B49" s="8" t="n">
        <v>0</v>
      </c>
      <c r="C49" s="8" t="n">
        <v>1237.71</v>
      </c>
      <c r="D49" s="8" t="n">
        <v>1268.65</v>
      </c>
      <c r="E49" s="8" t="n">
        <v>1300.37</v>
      </c>
      <c r="F49" s="8" t="n">
        <v>1332.88</v>
      </c>
      <c r="G49" s="8" t="n">
        <v>1366.2</v>
      </c>
      <c r="H49" s="8" t="n">
        <v>1400.36</v>
      </c>
      <c r="I49" s="8" t="n">
        <v>1435.36</v>
      </c>
      <c r="J49" s="8" t="n">
        <v>1471.25</v>
      </c>
      <c r="K49" s="8" t="n">
        <v>1508.03</v>
      </c>
      <c r="L49" s="8" t="n">
        <v>1545.73</v>
      </c>
      <c r="M49" s="8" t="n">
        <v>1584.37</v>
      </c>
      <c r="N49" s="8" t="n">
        <v>1623.98</v>
      </c>
      <c r="O49" s="8" t="n">
        <v>1664.58</v>
      </c>
      <c r="P49" s="8" t="n">
        <v>1706.2</v>
      </c>
      <c r="Q49" s="8" t="n">
        <v>1748.85</v>
      </c>
      <c r="R49" s="8" t="n">
        <v>1792.57</v>
      </c>
      <c r="S49" s="8" t="n">
        <v>1837.39</v>
      </c>
      <c r="T49" s="8" t="n">
        <v>1883.32</v>
      </c>
      <c r="U49" s="8" t="n">
        <v>1930.41</v>
      </c>
      <c r="V49" s="8" t="n">
        <v>1978.67</v>
      </c>
      <c r="W49" s="8" t="n">
        <v>2028.13</v>
      </c>
      <c r="X49" s="8" t="n">
        <v>2078.84</v>
      </c>
      <c r="Y49" s="8" t="n">
        <v>2130.81</v>
      </c>
      <c r="Z49" s="8" t="n">
        <v>2184.08</v>
      </c>
      <c r="AA49" s="8" t="n">
        <v>2238.68</v>
      </c>
    </row>
    <row r="50">
      <c r="A50" s="4" t="inlineStr">
        <is>
          <t>Bill Savings ($)</t>
        </is>
      </c>
      <c r="B50" s="8" t="n">
        <v>0</v>
      </c>
      <c r="C50" s="8" t="n">
        <v>2065.31</v>
      </c>
      <c r="D50" s="8" t="n">
        <v>2065.31</v>
      </c>
      <c r="E50" s="8" t="n">
        <v>2065.31</v>
      </c>
      <c r="F50" s="8" t="n">
        <v>2065.31</v>
      </c>
      <c r="G50" s="8" t="n">
        <v>2065.31</v>
      </c>
      <c r="H50" s="8" t="n">
        <v>2065.31</v>
      </c>
      <c r="I50" s="8" t="n">
        <v>2065.31</v>
      </c>
      <c r="J50" s="8" t="n">
        <v>2065.31</v>
      </c>
      <c r="K50" s="8" t="n">
        <v>2065.31</v>
      </c>
      <c r="L50" s="8" t="n">
        <v>2065.31</v>
      </c>
      <c r="M50" s="8" t="n">
        <v>2065.31</v>
      </c>
      <c r="N50" s="8" t="n">
        <v>2065.31</v>
      </c>
      <c r="O50" s="8" t="n">
        <v>2065.31</v>
      </c>
      <c r="P50" s="8" t="n">
        <v>2065.31</v>
      </c>
      <c r="Q50" s="8" t="n">
        <v>2065.31</v>
      </c>
      <c r="R50" s="8" t="n">
        <v>2065.31</v>
      </c>
      <c r="S50" s="8" t="n">
        <v>2065.31</v>
      </c>
      <c r="T50" s="8" t="n">
        <v>2065.31</v>
      </c>
      <c r="U50" s="8" t="n">
        <v>2065.31</v>
      </c>
      <c r="V50" s="8" t="n">
        <v>2065.31</v>
      </c>
      <c r="W50" s="8" t="n">
        <v>2065.31</v>
      </c>
      <c r="X50" s="8" t="n">
        <v>2065.31</v>
      </c>
      <c r="Y50" s="8" t="n">
        <v>2065.31</v>
      </c>
      <c r="Z50" s="8" t="n">
        <v>2065.31</v>
      </c>
      <c r="AA50" s="8" t="n">
        <v>2065.31</v>
      </c>
    </row>
    <row r="51">
      <c r="A51" s="4" t="inlineStr">
        <is>
          <t>Escalated Bill Savings ($)</t>
        </is>
      </c>
      <c r="B51" s="8" t="n">
        <v>0</v>
      </c>
      <c r="C51" s="8" t="n">
        <v>2065.31</v>
      </c>
      <c r="D51" s="8" t="n">
        <v>2116.94</v>
      </c>
      <c r="E51" s="8" t="n">
        <v>2169.87</v>
      </c>
      <c r="F51" s="8" t="n">
        <v>2224.11</v>
      </c>
      <c r="G51" s="8" t="n">
        <v>2279.72</v>
      </c>
      <c r="H51" s="8" t="n">
        <v>2336.71</v>
      </c>
      <c r="I51" s="8" t="n">
        <v>2395.13</v>
      </c>
      <c r="J51" s="8" t="n">
        <v>2455</v>
      </c>
      <c r="K51" s="8" t="n">
        <v>2516.38</v>
      </c>
      <c r="L51" s="8" t="n">
        <v>2579.29</v>
      </c>
      <c r="M51" s="8" t="n">
        <v>2643.77</v>
      </c>
      <c r="N51" s="8" t="n">
        <v>2709.87</v>
      </c>
      <c r="O51" s="8" t="n">
        <v>2777.61</v>
      </c>
      <c r="P51" s="8" t="n">
        <v>2847.05</v>
      </c>
      <c r="Q51" s="8" t="n">
        <v>2918.23</v>
      </c>
      <c r="R51" s="8" t="n">
        <v>2991.18</v>
      </c>
      <c r="S51" s="8" t="n">
        <v>3065.96</v>
      </c>
      <c r="T51" s="8" t="n">
        <v>3142.61</v>
      </c>
      <c r="U51" s="8" t="n">
        <v>3221.18</v>
      </c>
      <c r="V51" s="8" t="n">
        <v>3301.71</v>
      </c>
      <c r="W51" s="8" t="n">
        <v>3384.25</v>
      </c>
      <c r="X51" s="8" t="n">
        <v>3468.86</v>
      </c>
      <c r="Y51" s="8" t="n">
        <v>3555.58</v>
      </c>
      <c r="Z51" s="8" t="n">
        <v>3644.47</v>
      </c>
      <c r="AA51" s="8" t="n">
        <v>3735.58</v>
      </c>
    </row>
    <row r="52">
      <c r="A52" s="4" t="inlineStr">
        <is>
          <t>SMART Annual ($)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</row>
    <row r="53">
      <c r="A53" s="4" t="inlineStr">
        <is>
          <t>ConnectedSolutions ($)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</row>
    <row r="54">
      <c r="A54" s="4" t="inlineStr">
        <is>
          <t>Total Incentive Annual ($)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</row>
    <row r="55">
      <c r="A55" s="11" t="inlineStr">
        <is>
          <t>Simple Payback (yr)</t>
        </is>
      </c>
      <c r="B55" s="14">
        <f>IF((C50+C51)&gt;0,B44/(C50+C51),"N/A")</f>
        <v/>
      </c>
      <c r="C55" s="8" t="n">
        <v>2065.31</v>
      </c>
      <c r="D55" s="8" t="n">
        <v>2116.94</v>
      </c>
      <c r="E55" s="8" t="n">
        <v>2169.87</v>
      </c>
      <c r="F55" s="8" t="n">
        <v>2224.11</v>
      </c>
      <c r="G55" s="8" t="n">
        <v>2279.72</v>
      </c>
      <c r="H55" s="8" t="n">
        <v>2336.71</v>
      </c>
      <c r="I55" s="8" t="n">
        <v>2395.13</v>
      </c>
      <c r="J55" s="8" t="n">
        <v>2455</v>
      </c>
      <c r="K55" s="8" t="n">
        <v>2516.38</v>
      </c>
      <c r="L55" s="8" t="n">
        <v>2579.29</v>
      </c>
      <c r="M55" s="8" t="n">
        <v>2643.77</v>
      </c>
      <c r="N55" s="8" t="n">
        <v>2709.87</v>
      </c>
      <c r="O55" s="8" t="n">
        <v>2777.61</v>
      </c>
      <c r="P55" s="8" t="n">
        <v>2847.05</v>
      </c>
      <c r="Q55" s="8" t="n">
        <v>2918.23</v>
      </c>
      <c r="R55" s="8" t="n">
        <v>2991.18</v>
      </c>
      <c r="S55" s="8" t="n">
        <v>3065.96</v>
      </c>
      <c r="T55" s="8" t="n">
        <v>3142.61</v>
      </c>
      <c r="U55" s="8" t="n">
        <v>3221.18</v>
      </c>
      <c r="V55" s="8" t="n">
        <v>3301.71</v>
      </c>
      <c r="W55" s="8" t="n">
        <v>3384.25</v>
      </c>
      <c r="X55" s="8" t="n">
        <v>3468.86</v>
      </c>
      <c r="Y55" s="8" t="n">
        <v>3555.58</v>
      </c>
      <c r="Z55" s="8" t="n">
        <v>3644.47</v>
      </c>
      <c r="AA55" s="8" t="n">
        <v>3735.58</v>
      </c>
    </row>
    <row r="56">
      <c r="A56" s="11" t="inlineStr">
        <is>
          <t>NPV Breakeven Year</t>
        </is>
      </c>
      <c r="B56" s="15" t="inlineStr">
        <is>
          <t>See Cumulative NPV row 54 for first year ≥ 0</t>
        </is>
      </c>
      <c r="C56" s="13" t="n">
        <v>-1160.81</v>
      </c>
      <c r="D56" s="13" t="n">
        <v>-1109.18</v>
      </c>
      <c r="E56" s="13" t="n">
        <v>-1056.25</v>
      </c>
      <c r="F56" s="13" t="n">
        <v>-1002.01</v>
      </c>
      <c r="G56" s="13" t="n">
        <v>-946.4</v>
      </c>
      <c r="H56" s="13" t="n">
        <v>-889.41</v>
      </c>
      <c r="I56" s="13" t="n">
        <v>-830.99</v>
      </c>
      <c r="J56" s="13" t="n">
        <v>-771.11</v>
      </c>
      <c r="K56" s="13" t="n">
        <v>-709.74</v>
      </c>
      <c r="L56" s="13" t="n">
        <v>-646.83</v>
      </c>
      <c r="M56" s="13" t="n">
        <v>-582.35</v>
      </c>
      <c r="N56" s="13" t="n">
        <v>-516.25</v>
      </c>
      <c r="O56" s="13" t="n">
        <v>-448.51</v>
      </c>
      <c r="P56" s="13" t="n">
        <v>-379.07</v>
      </c>
      <c r="Q56" s="13" t="n">
        <v>-307.89</v>
      </c>
      <c r="R56" s="13" t="n">
        <v>-234.93</v>
      </c>
      <c r="S56" s="13" t="n">
        <v>-160.16</v>
      </c>
      <c r="T56" s="13" t="n">
        <v>-83.51000000000001</v>
      </c>
      <c r="U56" s="13" t="n">
        <v>-4.94</v>
      </c>
      <c r="V56" s="12" t="n">
        <v>75.59</v>
      </c>
      <c r="W56" s="12" t="n">
        <v>158.13</v>
      </c>
      <c r="X56" s="12" t="n">
        <v>242.74</v>
      </c>
      <c r="Y56" s="12" t="n">
        <v>329.46</v>
      </c>
      <c r="Z56" s="12" t="n">
        <v>418.35</v>
      </c>
      <c r="AA56" s="12" t="n">
        <v>509.46</v>
      </c>
    </row>
    <row r="57">
      <c r="A57" s="4" t="inlineStr">
        <is>
          <t>Discounted Net Savings ($)</t>
        </is>
      </c>
      <c r="B57" s="8" t="n">
        <v>0</v>
      </c>
      <c r="C57" s="8" t="n">
        <v>-1090.99</v>
      </c>
      <c r="D57" s="8" t="n">
        <v>-979.75</v>
      </c>
      <c r="E57" s="8" t="n">
        <v>-876.89</v>
      </c>
      <c r="F57" s="8" t="n">
        <v>-781.8099999999999</v>
      </c>
      <c r="G57" s="8" t="n">
        <v>-694.01</v>
      </c>
      <c r="H57" s="8" t="n">
        <v>-612.99</v>
      </c>
      <c r="I57" s="8" t="n">
        <v>-538.28</v>
      </c>
      <c r="J57" s="8" t="n">
        <v>-469.45</v>
      </c>
      <c r="K57" s="8" t="n">
        <v>-406.09</v>
      </c>
      <c r="L57" s="8" t="n">
        <v>-347.84</v>
      </c>
      <c r="M57" s="8" t="n">
        <v>-294.32</v>
      </c>
      <c r="N57" s="8" t="n">
        <v>-245.22</v>
      </c>
      <c r="O57" s="8" t="n">
        <v>-200.23</v>
      </c>
      <c r="P57" s="8" t="n">
        <v>-159.05</v>
      </c>
      <c r="Q57" s="8" t="n">
        <v>-121.41</v>
      </c>
      <c r="R57" s="8" t="n">
        <v>-87.06999999999999</v>
      </c>
      <c r="S57" s="8" t="n">
        <v>-55.79</v>
      </c>
      <c r="T57" s="8" t="n">
        <v>-27.34</v>
      </c>
      <c r="U57" s="8" t="n">
        <v>-1.52</v>
      </c>
      <c r="V57" s="8" t="n">
        <v>21.86</v>
      </c>
      <c r="W57" s="8" t="n">
        <v>42.98</v>
      </c>
      <c r="X57" s="8" t="n">
        <v>62</v>
      </c>
      <c r="Y57" s="8" t="n">
        <v>79.09</v>
      </c>
      <c r="Z57" s="8" t="n">
        <v>94.39</v>
      </c>
      <c r="AA57" s="8" t="n">
        <v>108.04</v>
      </c>
    </row>
    <row r="58">
      <c r="A58" s="4" t="inlineStr">
        <is>
          <t>Cumulative NPV ($)</t>
        </is>
      </c>
      <c r="B58" s="8" t="n">
        <v>0</v>
      </c>
      <c r="C58" s="8" t="n">
        <v>-1090.99</v>
      </c>
      <c r="D58" s="8" t="n">
        <v>-2070.74</v>
      </c>
      <c r="E58" s="8" t="n">
        <v>-2947.63</v>
      </c>
      <c r="F58" s="8" t="n">
        <v>-3729.44</v>
      </c>
      <c r="G58" s="8" t="n">
        <v>-4423.46</v>
      </c>
      <c r="H58" s="8" t="n">
        <v>-5036.44</v>
      </c>
      <c r="I58" s="8" t="n">
        <v>-5574.72</v>
      </c>
      <c r="J58" s="8" t="n">
        <v>-6044.17</v>
      </c>
      <c r="K58" s="8" t="n">
        <v>-6450.26</v>
      </c>
      <c r="L58" s="8" t="n">
        <v>-6798.1</v>
      </c>
      <c r="M58" s="8" t="n">
        <v>-7092.42</v>
      </c>
      <c r="N58" s="8" t="n">
        <v>-7337.64</v>
      </c>
      <c r="O58" s="8" t="n">
        <v>-7537.87</v>
      </c>
      <c r="P58" s="8" t="n">
        <v>-7696.92</v>
      </c>
      <c r="Q58" s="8" t="n">
        <v>-7818.34</v>
      </c>
      <c r="R58" s="8" t="n">
        <v>-7905.41</v>
      </c>
      <c r="S58" s="8" t="n">
        <v>-7961.2</v>
      </c>
      <c r="T58" s="8" t="n">
        <v>-7988.54</v>
      </c>
      <c r="U58" s="8" t="n">
        <v>-7990.06</v>
      </c>
      <c r="V58" s="8" t="n">
        <v>-7968.2</v>
      </c>
      <c r="W58" s="8" t="n">
        <v>-7925.22</v>
      </c>
      <c r="X58" s="8" t="n">
        <v>-7863.21</v>
      </c>
      <c r="Y58" s="8" t="n">
        <v>-7784.12</v>
      </c>
      <c r="Z58" s="8" t="n">
        <v>-7689.73</v>
      </c>
      <c r="AA58" s="8" t="n">
        <v>-7581.69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2026-03-22T19:28:49Z</dcterms:created>
  <dcterms:modified xmlns:dcterms="http://purl.org/dc/terms/" xmlns:xsi="http://www.w3.org/2001/XMLSchema-instance" xsi:type="dcterms:W3CDTF">2026-03-23T15:41:11Z</dcterms:modified>
</cp:coreProperties>
</file>