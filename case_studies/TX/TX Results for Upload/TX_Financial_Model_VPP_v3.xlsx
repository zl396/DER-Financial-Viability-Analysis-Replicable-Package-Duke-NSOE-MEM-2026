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sh 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;($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sz val="10"/>
    </font>
    <font>
      <name val="Arial"/>
      <color rgb="00CC0000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2" borderId="0" pivotButton="0" quotePrefix="0" xfId="0"/>
    <xf numFmtId="165" fontId="3" fillId="0" borderId="0" pivotButton="0" quotePrefix="0" xfId="0"/>
    <xf numFmtId="165" fontId="5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8" customWidth="1" min="4" max="4"/>
    <col width="55" customWidth="1" min="5" max="5"/>
  </cols>
  <sheetData>
    <row r="1">
      <c r="B1" s="1" t="inlineStr">
        <is>
          <t>TX VPP Scenario (Oncor + Chariot GreenVolt + North Hub VPP)</t>
        </is>
      </c>
    </row>
    <row r="3">
      <c r="B3" s="2" t="inlineStr">
        <is>
          <t>SYSTEM</t>
        </is>
      </c>
    </row>
    <row r="4">
      <c r="B4" s="3" t="inlineStr">
        <is>
          <t>PV Capacity</t>
        </is>
      </c>
      <c r="C4" s="3" t="n">
        <v>5.95</v>
      </c>
      <c r="D4" s="4" t="inlineStr">
        <is>
          <t>kW</t>
        </is>
      </c>
    </row>
    <row r="5">
      <c r="B5" s="5" t="inlineStr">
        <is>
          <t>Battery</t>
        </is>
      </c>
      <c r="C5" s="3" t="n">
        <v>13.5</v>
      </c>
      <c r="D5" s="4" t="inlineStr">
        <is>
          <t>kWh</t>
        </is>
      </c>
    </row>
    <row r="6">
      <c r="B6" s="5" t="inlineStr">
        <is>
          <t>Solar Cost</t>
        </is>
      </c>
      <c r="C6" s="3" t="n">
        <v>16481.5</v>
      </c>
      <c r="E6" s="4" t="inlineStr">
        <is>
          <t>$2,770/kW × 5.95, Tao Sun TX</t>
        </is>
      </c>
    </row>
    <row r="7">
      <c r="B7" s="5" t="inlineStr">
        <is>
          <t>PV+S Cost</t>
        </is>
      </c>
      <c r="C7" s="3" t="n">
        <v>31358.5</v>
      </c>
    </row>
    <row r="8">
      <c r="B8" s="5" t="inlineStr">
        <is>
          <t>Loan Rate</t>
        </is>
      </c>
      <c r="C8" s="6" t="n">
        <v>0.07240000000000001</v>
      </c>
    </row>
    <row r="9">
      <c r="B9" s="5" t="inlineStr">
        <is>
          <t>Loan Term</t>
        </is>
      </c>
      <c r="C9" s="3" t="n">
        <v>25</v>
      </c>
    </row>
    <row r="10">
      <c r="B10" s="5" t="inlineStr">
        <is>
          <t>Discount Rate</t>
        </is>
      </c>
      <c r="C10" s="7" t="n">
        <v>0.064</v>
      </c>
    </row>
    <row r="11">
      <c r="B11" s="5" t="inlineStr">
        <is>
          <t>Escalation</t>
        </is>
      </c>
      <c r="C11" s="7" t="n">
        <v>0.025</v>
      </c>
    </row>
    <row r="13">
      <c r="B13" s="2" t="inlineStr">
        <is>
          <t>RATE STRUCTURE</t>
        </is>
      </c>
    </row>
    <row r="14">
      <c r="B14" s="5" t="inlineStr">
        <is>
          <t>Buy Rate</t>
        </is>
      </c>
      <c r="C14" s="3" t="n">
        <v>0.1582</v>
      </c>
      <c r="E14" s="4" t="inlineStr">
        <is>
          <t>Chariot GreenVolt 10.2¢ + Oncor TDU 5.62¢</t>
        </is>
      </c>
    </row>
    <row r="15">
      <c r="B15" s="5" t="inlineStr">
        <is>
          <t>Buyback Rate</t>
        </is>
      </c>
      <c r="C15" s="3" t="n">
        <v>0.07000000000000001</v>
      </c>
      <c r="E15" s="4" t="inlineStr">
        <is>
          <t>Chariot GreenVolt 7¢ fixed</t>
        </is>
      </c>
    </row>
    <row r="16">
      <c r="B16" s="5" t="inlineStr">
        <is>
          <t>Fixed Monthly</t>
        </is>
      </c>
      <c r="C16" s="3" t="n">
        <v>34.18</v>
      </c>
    </row>
    <row r="18">
      <c r="B18" s="2" t="inlineStr">
        <is>
          <t>VPP REVENUE</t>
        </is>
      </c>
    </row>
    <row r="19">
      <c r="B19" s="5" t="inlineStr">
        <is>
          <t>VPP Annual Revenue</t>
        </is>
      </c>
      <c r="C19" s="3" t="n">
        <v>253</v>
      </c>
      <c r="D19" s="4" t="inlineStr">
        <is>
          <t>$/yr</t>
        </is>
      </c>
      <c r="E19" s="4" t="inlineStr">
        <is>
          <t>North Hub 2025 full year arbitrage, after 30% aggregator take</t>
        </is>
      </c>
    </row>
    <row r="20">
      <c r="B20" s="5" t="inlineStr">
        <is>
          <t>Source</t>
        </is>
      </c>
      <c r="C20" s="4" t="inlineStr">
        <is>
          <t>ERCOT RTM SPP</t>
        </is>
      </c>
      <c r="E20" s="4" t="inlineStr">
        <is>
          <t>rpt.00013061 RTMLZHBSPP_2025.xlsx, 12 months, HB_NORTH</t>
        </is>
      </c>
    </row>
    <row r="21">
      <c r="B21" s="5" t="inlineStr">
        <is>
          <t>Gross Revenue</t>
        </is>
      </c>
      <c r="C21" s="4" t="n">
        <v>361</v>
      </c>
      <c r="E21" s="4" t="inlineStr">
        <is>
          <t>$361/yr gross, $72/kW/yr. 30% take → $253 net to homeowner</t>
        </is>
      </c>
    </row>
    <row r="22">
      <c r="B22" s="5" t="inlineStr">
        <is>
          <t>Caveat</t>
        </is>
      </c>
      <c r="C22" s="8" t="inlineStr">
        <is>
          <t>Optimistic</t>
        </is>
      </c>
      <c r="E22" s="4" t="inlineStr">
        <is>
          <t>Assumes perfect daily cycling, zero degradation, constant 2025 prices. Actual revenue volatile.</t>
        </is>
      </c>
    </row>
    <row r="24">
      <c r="B24" s="2" t="inlineStr">
        <is>
          <t>PYSAM RESULTS</t>
        </is>
      </c>
    </row>
    <row r="25">
      <c r="B25" s="5" t="inlineStr">
        <is>
          <t>Bill w/o System</t>
        </is>
      </c>
      <c r="C25" s="3" t="n">
        <v>2786.95</v>
      </c>
    </row>
    <row r="26">
      <c r="B26" s="5" t="inlineStr">
        <is>
          <t>Solar Savings Y1</t>
        </is>
      </c>
      <c r="C26" s="3" t="n">
        <v>1088.02</v>
      </c>
    </row>
    <row r="27">
      <c r="B27" s="5" t="inlineStr">
        <is>
          <t>PV+S Savings Y1</t>
        </is>
      </c>
      <c r="C27" s="3" t="n">
        <v>1098.8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AA5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5">
      <c r="A5" s="9" t="inlineStr">
        <is>
          <t>PV+Storage — Base Case (No VPP)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</row>
    <row r="6">
      <c r="A6" s="2" t="inlineStr">
        <is>
          <t>Year</t>
        </is>
      </c>
      <c r="B6" s="5" t="n">
        <v>0</v>
      </c>
      <c r="C6" s="5" t="n">
        <v>1</v>
      </c>
      <c r="D6" s="5" t="n">
        <v>2</v>
      </c>
      <c r="E6" s="5" t="n">
        <v>3</v>
      </c>
      <c r="F6" s="5" t="n">
        <v>4</v>
      </c>
      <c r="G6" s="5" t="n">
        <v>5</v>
      </c>
      <c r="H6" s="5" t="n">
        <v>6</v>
      </c>
      <c r="I6" s="5" t="n">
        <v>7</v>
      </c>
      <c r="J6" s="5" t="n">
        <v>8</v>
      </c>
      <c r="K6" s="5" t="n">
        <v>9</v>
      </c>
      <c r="L6" s="5" t="n">
        <v>10</v>
      </c>
      <c r="M6" s="5" t="n">
        <v>11</v>
      </c>
      <c r="N6" s="5" t="n">
        <v>12</v>
      </c>
      <c r="O6" s="5" t="n">
        <v>13</v>
      </c>
      <c r="P6" s="5" t="n">
        <v>14</v>
      </c>
      <c r="Q6" s="5" t="n">
        <v>15</v>
      </c>
      <c r="R6" s="5" t="n">
        <v>16</v>
      </c>
      <c r="S6" s="5" t="n">
        <v>17</v>
      </c>
      <c r="T6" s="5" t="n">
        <v>18</v>
      </c>
      <c r="U6" s="5" t="n">
        <v>19</v>
      </c>
      <c r="V6" s="5" t="n">
        <v>20</v>
      </c>
      <c r="W6" s="5" t="n">
        <v>21</v>
      </c>
      <c r="X6" s="5" t="n">
        <v>22</v>
      </c>
      <c r="Y6" s="5" t="n">
        <v>23</v>
      </c>
      <c r="Z6" s="5" t="n">
        <v>24</v>
      </c>
      <c r="AA6" s="5" t="n">
        <v>25</v>
      </c>
    </row>
    <row r="7">
      <c r="A7" s="5" t="inlineStr">
        <is>
          <t>Debt Balance ($)</t>
        </is>
      </c>
      <c r="B7" s="11" t="n">
        <v>31358.5</v>
      </c>
      <c r="C7" s="12">
        <f>B7-C9</f>
        <v/>
      </c>
      <c r="D7" s="12">
        <f>C7-D9</f>
        <v/>
      </c>
      <c r="E7" s="12">
        <f>D7-E9</f>
        <v/>
      </c>
      <c r="F7" s="12">
        <f>E7-F9</f>
        <v/>
      </c>
      <c r="G7" s="12">
        <f>F7-G9</f>
        <v/>
      </c>
      <c r="H7" s="12">
        <f>G7-H9</f>
        <v/>
      </c>
      <c r="I7" s="12">
        <f>H7-I9</f>
        <v/>
      </c>
      <c r="J7" s="12">
        <f>I7-J9</f>
        <v/>
      </c>
      <c r="K7" s="12">
        <f>J7-K9</f>
        <v/>
      </c>
      <c r="L7" s="12">
        <f>K7-L9</f>
        <v/>
      </c>
      <c r="M7" s="12">
        <f>L7-M9</f>
        <v/>
      </c>
      <c r="N7" s="12">
        <f>M7-N9</f>
        <v/>
      </c>
      <c r="O7" s="12">
        <f>N7-O9</f>
        <v/>
      </c>
      <c r="P7" s="12">
        <f>O7-P9</f>
        <v/>
      </c>
      <c r="Q7" s="12">
        <f>P7-Q9</f>
        <v/>
      </c>
      <c r="R7" s="12">
        <f>Q7-R9</f>
        <v/>
      </c>
      <c r="S7" s="12">
        <f>R7-S9</f>
        <v/>
      </c>
      <c r="T7" s="12">
        <f>S7-T9</f>
        <v/>
      </c>
      <c r="U7" s="12">
        <f>T7-U9</f>
        <v/>
      </c>
      <c r="V7" s="12">
        <f>U7-V9</f>
        <v/>
      </c>
      <c r="W7" s="12">
        <f>V7-W9</f>
        <v/>
      </c>
      <c r="X7" s="12">
        <f>W7-X9</f>
        <v/>
      </c>
      <c r="Y7" s="12">
        <f>X7-Y9</f>
        <v/>
      </c>
      <c r="Z7" s="12">
        <f>Y7-Z9</f>
        <v/>
      </c>
      <c r="AA7" s="12">
        <f>Z7-AA9</f>
        <v/>
      </c>
    </row>
    <row r="8">
      <c r="A8" s="5" t="inlineStr">
        <is>
          <t>Interest Payment ($)</t>
        </is>
      </c>
      <c r="B8" s="12" t="n">
        <v>0</v>
      </c>
      <c r="C8" s="12">
        <f>B7*Inputs!$C$8</f>
        <v/>
      </c>
      <c r="D8" s="12">
        <f>C7*Inputs!$C$8</f>
        <v/>
      </c>
      <c r="E8" s="12">
        <f>D7*Inputs!$C$8</f>
        <v/>
      </c>
      <c r="F8" s="12">
        <f>E7*Inputs!$C$8</f>
        <v/>
      </c>
      <c r="G8" s="12">
        <f>F7*Inputs!$C$8</f>
        <v/>
      </c>
      <c r="H8" s="12">
        <f>G7*Inputs!$C$8</f>
        <v/>
      </c>
      <c r="I8" s="12">
        <f>H7*Inputs!$C$8</f>
        <v/>
      </c>
      <c r="J8" s="12">
        <f>I7*Inputs!$C$8</f>
        <v/>
      </c>
      <c r="K8" s="12">
        <f>J7*Inputs!$C$8</f>
        <v/>
      </c>
      <c r="L8" s="12">
        <f>K7*Inputs!$C$8</f>
        <v/>
      </c>
      <c r="M8" s="12">
        <f>L7*Inputs!$C$8</f>
        <v/>
      </c>
      <c r="N8" s="12">
        <f>M7*Inputs!$C$8</f>
        <v/>
      </c>
      <c r="O8" s="12">
        <f>N7*Inputs!$C$8</f>
        <v/>
      </c>
      <c r="P8" s="12">
        <f>O7*Inputs!$C$8</f>
        <v/>
      </c>
      <c r="Q8" s="12">
        <f>P7*Inputs!$C$8</f>
        <v/>
      </c>
      <c r="R8" s="12">
        <f>Q7*Inputs!$C$8</f>
        <v/>
      </c>
      <c r="S8" s="12">
        <f>R7*Inputs!$C$8</f>
        <v/>
      </c>
      <c r="T8" s="12">
        <f>S7*Inputs!$C$8</f>
        <v/>
      </c>
      <c r="U8" s="12">
        <f>T7*Inputs!$C$8</f>
        <v/>
      </c>
      <c r="V8" s="12">
        <f>U7*Inputs!$C$8</f>
        <v/>
      </c>
      <c r="W8" s="12">
        <f>V7*Inputs!$C$8</f>
        <v/>
      </c>
      <c r="X8" s="12">
        <f>W7*Inputs!$C$8</f>
        <v/>
      </c>
      <c r="Y8" s="12">
        <f>X7*Inputs!$C$8</f>
        <v/>
      </c>
      <c r="Z8" s="12">
        <f>Y7*Inputs!$C$8</f>
        <v/>
      </c>
      <c r="AA8" s="12">
        <f>Z7*Inputs!$C$8</f>
        <v/>
      </c>
    </row>
    <row r="9">
      <c r="A9" s="5" t="inlineStr">
        <is>
          <t>Principal Payment ($)</t>
        </is>
      </c>
      <c r="B9" s="12" t="n">
        <v>0</v>
      </c>
      <c r="C9" s="12">
        <f>-PMT(Inputs!$C$8,Inputs!$C$9,$B$7)-C8</f>
        <v/>
      </c>
      <c r="D9" s="12">
        <f>-PMT(Inputs!$C$8,Inputs!$C$9,$B$7)-D8</f>
        <v/>
      </c>
      <c r="E9" s="12">
        <f>-PMT(Inputs!$C$8,Inputs!$C$9,$B$7)-E8</f>
        <v/>
      </c>
      <c r="F9" s="12">
        <f>-PMT(Inputs!$C$8,Inputs!$C$9,$B$7)-F8</f>
        <v/>
      </c>
      <c r="G9" s="12">
        <f>-PMT(Inputs!$C$8,Inputs!$C$9,$B$7)-G8</f>
        <v/>
      </c>
      <c r="H9" s="12">
        <f>-PMT(Inputs!$C$8,Inputs!$C$9,$B$7)-H8</f>
        <v/>
      </c>
      <c r="I9" s="12">
        <f>-PMT(Inputs!$C$8,Inputs!$C$9,$B$7)-I8</f>
        <v/>
      </c>
      <c r="J9" s="12">
        <f>-PMT(Inputs!$C$8,Inputs!$C$9,$B$7)-J8</f>
        <v/>
      </c>
      <c r="K9" s="12">
        <f>-PMT(Inputs!$C$8,Inputs!$C$9,$B$7)-K8</f>
        <v/>
      </c>
      <c r="L9" s="12">
        <f>-PMT(Inputs!$C$8,Inputs!$C$9,$B$7)-L8</f>
        <v/>
      </c>
      <c r="M9" s="12">
        <f>-PMT(Inputs!$C$8,Inputs!$C$9,$B$7)-M8</f>
        <v/>
      </c>
      <c r="N9" s="12">
        <f>-PMT(Inputs!$C$8,Inputs!$C$9,$B$7)-N8</f>
        <v/>
      </c>
      <c r="O9" s="12">
        <f>-PMT(Inputs!$C$8,Inputs!$C$9,$B$7)-O8</f>
        <v/>
      </c>
      <c r="P9" s="12">
        <f>-PMT(Inputs!$C$8,Inputs!$C$9,$B$7)-P8</f>
        <v/>
      </c>
      <c r="Q9" s="12">
        <f>-PMT(Inputs!$C$8,Inputs!$C$9,$B$7)-Q8</f>
        <v/>
      </c>
      <c r="R9" s="12">
        <f>-PMT(Inputs!$C$8,Inputs!$C$9,$B$7)-R8</f>
        <v/>
      </c>
      <c r="S9" s="12">
        <f>-PMT(Inputs!$C$8,Inputs!$C$9,$B$7)-S8</f>
        <v/>
      </c>
      <c r="T9" s="12">
        <f>-PMT(Inputs!$C$8,Inputs!$C$9,$B$7)-T8</f>
        <v/>
      </c>
      <c r="U9" s="12">
        <f>-PMT(Inputs!$C$8,Inputs!$C$9,$B$7)-U8</f>
        <v/>
      </c>
      <c r="V9" s="12">
        <f>-PMT(Inputs!$C$8,Inputs!$C$9,$B$7)-V8</f>
        <v/>
      </c>
      <c r="W9" s="12">
        <f>-PMT(Inputs!$C$8,Inputs!$C$9,$B$7)-W8</f>
        <v/>
      </c>
      <c r="X9" s="12">
        <f>-PMT(Inputs!$C$8,Inputs!$C$9,$B$7)-X8</f>
        <v/>
      </c>
      <c r="Y9" s="12">
        <f>-PMT(Inputs!$C$8,Inputs!$C$9,$B$7)-Y8</f>
        <v/>
      </c>
      <c r="Z9" s="12">
        <f>-PMT(Inputs!$C$8,Inputs!$C$9,$B$7)-Z8</f>
        <v/>
      </c>
      <c r="AA9" s="12">
        <f>-PMT(Inputs!$C$8,Inputs!$C$9,$B$7)-AA8</f>
        <v/>
      </c>
    </row>
    <row r="10">
      <c r="A10" s="5" t="inlineStr">
        <is>
          <t>Total P&amp;I Payment ($)</t>
        </is>
      </c>
      <c r="B10" s="12" t="n">
        <v>0</v>
      </c>
      <c r="C10" s="12">
        <f>C8+C9</f>
        <v/>
      </c>
      <c r="D10" s="12">
        <f>D8+D9</f>
        <v/>
      </c>
      <c r="E10" s="12">
        <f>E8+E9</f>
        <v/>
      </c>
      <c r="F10" s="12">
        <f>F8+F9</f>
        <v/>
      </c>
      <c r="G10" s="12">
        <f>G8+G9</f>
        <v/>
      </c>
      <c r="H10" s="12">
        <f>H8+H9</f>
        <v/>
      </c>
      <c r="I10" s="12">
        <f>I8+I9</f>
        <v/>
      </c>
      <c r="J10" s="12">
        <f>J8+J9</f>
        <v/>
      </c>
      <c r="K10" s="12">
        <f>K8+K9</f>
        <v/>
      </c>
      <c r="L10" s="12">
        <f>L8+L9</f>
        <v/>
      </c>
      <c r="M10" s="12">
        <f>M8+M9</f>
        <v/>
      </c>
      <c r="N10" s="12">
        <f>N8+N9</f>
        <v/>
      </c>
      <c r="O10" s="12">
        <f>O8+O9</f>
        <v/>
      </c>
      <c r="P10" s="12">
        <f>P8+P9</f>
        <v/>
      </c>
      <c r="Q10" s="12">
        <f>Q8+Q9</f>
        <v/>
      </c>
      <c r="R10" s="12">
        <f>R8+R9</f>
        <v/>
      </c>
      <c r="S10" s="12">
        <f>S8+S9</f>
        <v/>
      </c>
      <c r="T10" s="12">
        <f>T8+T9</f>
        <v/>
      </c>
      <c r="U10" s="12">
        <f>U8+U9</f>
        <v/>
      </c>
      <c r="V10" s="12">
        <f>V8+V9</f>
        <v/>
      </c>
      <c r="W10" s="12">
        <f>W8+W9</f>
        <v/>
      </c>
      <c r="X10" s="12">
        <f>X8+X9</f>
        <v/>
      </c>
      <c r="Y10" s="12">
        <f>Y8+Y9</f>
        <v/>
      </c>
      <c r="Z10" s="12">
        <f>Z8+Z9</f>
        <v/>
      </c>
      <c r="AA10" s="12">
        <f>AA8+AA9</f>
        <v/>
      </c>
    </row>
    <row r="11">
      <c r="A11" s="5" t="inlineStr">
        <is>
          <t>Bill w/o System ($)</t>
        </is>
      </c>
      <c r="B11" s="12" t="n">
        <v>0</v>
      </c>
      <c r="C11" s="11" t="n">
        <v>2786.95</v>
      </c>
      <c r="D11" s="12">
        <f>C11*(1+Inputs!$C$11)</f>
        <v/>
      </c>
      <c r="E11" s="12">
        <f>D11*(1+Inputs!$C$11)</f>
        <v/>
      </c>
      <c r="F11" s="12">
        <f>E11*(1+Inputs!$C$11)</f>
        <v/>
      </c>
      <c r="G11" s="12">
        <f>F11*(1+Inputs!$C$11)</f>
        <v/>
      </c>
      <c r="H11" s="12">
        <f>G11*(1+Inputs!$C$11)</f>
        <v/>
      </c>
      <c r="I11" s="12">
        <f>H11*(1+Inputs!$C$11)</f>
        <v/>
      </c>
      <c r="J11" s="12">
        <f>I11*(1+Inputs!$C$11)</f>
        <v/>
      </c>
      <c r="K11" s="12">
        <f>J11*(1+Inputs!$C$11)</f>
        <v/>
      </c>
      <c r="L11" s="12">
        <f>K11*(1+Inputs!$C$11)</f>
        <v/>
      </c>
      <c r="M11" s="12">
        <f>L11*(1+Inputs!$C$11)</f>
        <v/>
      </c>
      <c r="N11" s="12">
        <f>M11*(1+Inputs!$C$11)</f>
        <v/>
      </c>
      <c r="O11" s="12">
        <f>N11*(1+Inputs!$C$11)</f>
        <v/>
      </c>
      <c r="P11" s="12">
        <f>O11*(1+Inputs!$C$11)</f>
        <v/>
      </c>
      <c r="Q11" s="12">
        <f>P11*(1+Inputs!$C$11)</f>
        <v/>
      </c>
      <c r="R11" s="12">
        <f>Q11*(1+Inputs!$C$11)</f>
        <v/>
      </c>
      <c r="S11" s="12">
        <f>R11*(1+Inputs!$C$11)</f>
        <v/>
      </c>
      <c r="T11" s="12">
        <f>S11*(1+Inputs!$C$11)</f>
        <v/>
      </c>
      <c r="U11" s="12">
        <f>T11*(1+Inputs!$C$11)</f>
        <v/>
      </c>
      <c r="V11" s="12">
        <f>U11*(1+Inputs!$C$11)</f>
        <v/>
      </c>
      <c r="W11" s="12">
        <f>V11*(1+Inputs!$C$11)</f>
        <v/>
      </c>
      <c r="X11" s="12">
        <f>W11*(1+Inputs!$C$11)</f>
        <v/>
      </c>
      <c r="Y11" s="12">
        <f>X11*(1+Inputs!$C$11)</f>
        <v/>
      </c>
      <c r="Z11" s="12">
        <f>Y11*(1+Inputs!$C$11)</f>
        <v/>
      </c>
      <c r="AA11" s="12">
        <f>Z11*(1+Inputs!$C$11)</f>
        <v/>
      </c>
    </row>
    <row r="12">
      <c r="A12" s="5" t="inlineStr">
        <is>
          <t>Bill w/ System ($)</t>
        </is>
      </c>
      <c r="B12" s="12" t="n">
        <v>0</v>
      </c>
      <c r="C12" s="11" t="n">
        <v>1688.15</v>
      </c>
      <c r="D12" s="12">
        <f>D11-1098.8*(1+Inputs!$C$11)^(2-1)</f>
        <v/>
      </c>
      <c r="E12" s="12">
        <f>E11-1098.8*(1+Inputs!$C$11)^(3-1)</f>
        <v/>
      </c>
      <c r="F12" s="12">
        <f>F11-1098.8*(1+Inputs!$C$11)^(4-1)</f>
        <v/>
      </c>
      <c r="G12" s="12">
        <f>G11-1098.8*(1+Inputs!$C$11)^(5-1)</f>
        <v/>
      </c>
      <c r="H12" s="12">
        <f>H11-1098.8*(1+Inputs!$C$11)^(6-1)</f>
        <v/>
      </c>
      <c r="I12" s="12">
        <f>I11-1098.8*(1+Inputs!$C$11)^(7-1)</f>
        <v/>
      </c>
      <c r="J12" s="12">
        <f>J11-1098.8*(1+Inputs!$C$11)^(8-1)</f>
        <v/>
      </c>
      <c r="K12" s="12">
        <f>K11-1098.8*(1+Inputs!$C$11)^(9-1)</f>
        <v/>
      </c>
      <c r="L12" s="12">
        <f>L11-1098.8*(1+Inputs!$C$11)^(10-1)</f>
        <v/>
      </c>
      <c r="M12" s="12">
        <f>M11-1098.8*(1+Inputs!$C$11)^(11-1)</f>
        <v/>
      </c>
      <c r="N12" s="12">
        <f>N11-1098.8*(1+Inputs!$C$11)^(12-1)</f>
        <v/>
      </c>
      <c r="O12" s="12">
        <f>O11-1098.8*(1+Inputs!$C$11)^(13-1)</f>
        <v/>
      </c>
      <c r="P12" s="12">
        <f>P11-1098.8*(1+Inputs!$C$11)^(14-1)</f>
        <v/>
      </c>
      <c r="Q12" s="12">
        <f>Q11-1098.8*(1+Inputs!$C$11)^(15-1)</f>
        <v/>
      </c>
      <c r="R12" s="12">
        <f>R11-1098.8*(1+Inputs!$C$11)^(16-1)</f>
        <v/>
      </c>
      <c r="S12" s="12">
        <f>S11-1098.8*(1+Inputs!$C$11)^(17-1)</f>
        <v/>
      </c>
      <c r="T12" s="12">
        <f>T11-1098.8*(1+Inputs!$C$11)^(18-1)</f>
        <v/>
      </c>
      <c r="U12" s="12">
        <f>U11-1098.8*(1+Inputs!$C$11)^(19-1)</f>
        <v/>
      </c>
      <c r="V12" s="12">
        <f>V11-1098.8*(1+Inputs!$C$11)^(20-1)</f>
        <v/>
      </c>
      <c r="W12" s="12">
        <f>W11-1098.8*(1+Inputs!$C$11)^(21-1)</f>
        <v/>
      </c>
      <c r="X12" s="12">
        <f>X11-1098.8*(1+Inputs!$C$11)^(22-1)</f>
        <v/>
      </c>
      <c r="Y12" s="12">
        <f>Y11-1098.8*(1+Inputs!$C$11)^(23-1)</f>
        <v/>
      </c>
      <c r="Z12" s="12">
        <f>Z11-1098.8*(1+Inputs!$C$11)^(24-1)</f>
        <v/>
      </c>
      <c r="AA12" s="12">
        <f>AA11-1098.8*(1+Inputs!$C$11)^(25-1)</f>
        <v/>
      </c>
    </row>
    <row r="13">
      <c r="A13" s="5" t="inlineStr">
        <is>
          <t>Bill Savings ($)</t>
        </is>
      </c>
      <c r="B13" s="12" t="n">
        <v>0</v>
      </c>
      <c r="C13" s="12">
        <f>C11-C12</f>
        <v/>
      </c>
      <c r="D13" s="12">
        <f>D11-D12</f>
        <v/>
      </c>
      <c r="E13" s="12">
        <f>E11-E12</f>
        <v/>
      </c>
      <c r="F13" s="12">
        <f>F11-F12</f>
        <v/>
      </c>
      <c r="G13" s="12">
        <f>G11-G12</f>
        <v/>
      </c>
      <c r="H13" s="12">
        <f>H11-H12</f>
        <v/>
      </c>
      <c r="I13" s="12">
        <f>I11-I12</f>
        <v/>
      </c>
      <c r="J13" s="12">
        <f>J11-J12</f>
        <v/>
      </c>
      <c r="K13" s="12">
        <f>K11-K12</f>
        <v/>
      </c>
      <c r="L13" s="12">
        <f>L11-L12</f>
        <v/>
      </c>
      <c r="M13" s="12">
        <f>M11-M12</f>
        <v/>
      </c>
      <c r="N13" s="12">
        <f>N11-N12</f>
        <v/>
      </c>
      <c r="O13" s="12">
        <f>O11-O12</f>
        <v/>
      </c>
      <c r="P13" s="12">
        <f>P11-P12</f>
        <v/>
      </c>
      <c r="Q13" s="12">
        <f>Q11-Q12</f>
        <v/>
      </c>
      <c r="R13" s="12">
        <f>R11-R12</f>
        <v/>
      </c>
      <c r="S13" s="12">
        <f>S11-S12</f>
        <v/>
      </c>
      <c r="T13" s="12">
        <f>T11-T12</f>
        <v/>
      </c>
      <c r="U13" s="12">
        <f>U11-U12</f>
        <v/>
      </c>
      <c r="V13" s="12">
        <f>V11-V12</f>
        <v/>
      </c>
      <c r="W13" s="12">
        <f>W11-W12</f>
        <v/>
      </c>
      <c r="X13" s="12">
        <f>X11-X12</f>
        <v/>
      </c>
      <c r="Y13" s="12">
        <f>Y11-Y12</f>
        <v/>
      </c>
      <c r="Z13" s="12">
        <f>Z11-Z12</f>
        <v/>
      </c>
      <c r="AA13" s="12">
        <f>AA11-AA12</f>
        <v/>
      </c>
    </row>
    <row r="14">
      <c r="A14" s="5" t="inlineStr">
        <is>
          <t>VPP Revenue ($)</t>
        </is>
      </c>
      <c r="B14" s="12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</row>
    <row r="15">
      <c r="A15" s="5" t="inlineStr">
        <is>
          <t>Total Savings ($)</t>
        </is>
      </c>
      <c r="B15" s="12" t="n">
        <v>0</v>
      </c>
      <c r="C15" s="12">
        <f>C13+C14</f>
        <v/>
      </c>
      <c r="D15" s="12">
        <f>D13+D14</f>
        <v/>
      </c>
      <c r="E15" s="12">
        <f>E13+E14</f>
        <v/>
      </c>
      <c r="F15" s="12">
        <f>F13+F14</f>
        <v/>
      </c>
      <c r="G15" s="12">
        <f>G13+G14</f>
        <v/>
      </c>
      <c r="H15" s="12">
        <f>H13+H14</f>
        <v/>
      </c>
      <c r="I15" s="12">
        <f>I13+I14</f>
        <v/>
      </c>
      <c r="J15" s="12">
        <f>J13+J14</f>
        <v/>
      </c>
      <c r="K15" s="12">
        <f>K13+K14</f>
        <v/>
      </c>
      <c r="L15" s="12">
        <f>L13+L14</f>
        <v/>
      </c>
      <c r="M15" s="12">
        <f>M13+M14</f>
        <v/>
      </c>
      <c r="N15" s="12">
        <f>N13+N14</f>
        <v/>
      </c>
      <c r="O15" s="12">
        <f>O13+O14</f>
        <v/>
      </c>
      <c r="P15" s="12">
        <f>P13+P14</f>
        <v/>
      </c>
      <c r="Q15" s="12">
        <f>Q13+Q14</f>
        <v/>
      </c>
      <c r="R15" s="12">
        <f>R13+R14</f>
        <v/>
      </c>
      <c r="S15" s="12">
        <f>S13+S14</f>
        <v/>
      </c>
      <c r="T15" s="12">
        <f>T13+T14</f>
        <v/>
      </c>
      <c r="U15" s="12">
        <f>U13+U14</f>
        <v/>
      </c>
      <c r="V15" s="12">
        <f>V13+V14</f>
        <v/>
      </c>
      <c r="W15" s="12">
        <f>W13+W14</f>
        <v/>
      </c>
      <c r="X15" s="12">
        <f>X13+X14</f>
        <v/>
      </c>
      <c r="Y15" s="12">
        <f>Y13+Y14</f>
        <v/>
      </c>
      <c r="Z15" s="12">
        <f>Z13+Z14</f>
        <v/>
      </c>
      <c r="AA15" s="12">
        <f>AA13+AA14</f>
        <v/>
      </c>
    </row>
    <row r="16">
      <c r="A16" s="5" t="inlineStr">
        <is>
          <t>Net Savings ($)</t>
        </is>
      </c>
      <c r="B16" s="12" t="n">
        <v>0</v>
      </c>
      <c r="C16" s="12">
        <f>C15-C10</f>
        <v/>
      </c>
      <c r="D16" s="12">
        <f>D15-D10</f>
        <v/>
      </c>
      <c r="E16" s="12">
        <f>E15-E10</f>
        <v/>
      </c>
      <c r="F16" s="12">
        <f>F15-F10</f>
        <v/>
      </c>
      <c r="G16" s="12">
        <f>G15-G10</f>
        <v/>
      </c>
      <c r="H16" s="12">
        <f>H15-H10</f>
        <v/>
      </c>
      <c r="I16" s="12">
        <f>I15-I10</f>
        <v/>
      </c>
      <c r="J16" s="12">
        <f>J15-J10</f>
        <v/>
      </c>
      <c r="K16" s="12">
        <f>K15-K10</f>
        <v/>
      </c>
      <c r="L16" s="12">
        <f>L15-L10</f>
        <v/>
      </c>
      <c r="M16" s="12">
        <f>M15-M10</f>
        <v/>
      </c>
      <c r="N16" s="12">
        <f>N15-N10</f>
        <v/>
      </c>
      <c r="O16" s="12">
        <f>O15-O10</f>
        <v/>
      </c>
      <c r="P16" s="12">
        <f>P15-P10</f>
        <v/>
      </c>
      <c r="Q16" s="12">
        <f>Q15-Q10</f>
        <v/>
      </c>
      <c r="R16" s="12">
        <f>R15-R10</f>
        <v/>
      </c>
      <c r="S16" s="12">
        <f>S15-S10</f>
        <v/>
      </c>
      <c r="T16" s="12">
        <f>T15-T10</f>
        <v/>
      </c>
      <c r="U16" s="12">
        <f>U15-U10</f>
        <v/>
      </c>
      <c r="V16" s="12">
        <f>V15-V10</f>
        <v/>
      </c>
      <c r="W16" s="12">
        <f>W15-W10</f>
        <v/>
      </c>
      <c r="X16" s="12">
        <f>X15-X10</f>
        <v/>
      </c>
      <c r="Y16" s="12">
        <f>Y15-Y10</f>
        <v/>
      </c>
      <c r="Z16" s="12">
        <f>Z15-Z10</f>
        <v/>
      </c>
      <c r="AA16" s="12">
        <f>AA15-AA10</f>
        <v/>
      </c>
    </row>
    <row r="17">
      <c r="A17" s="5" t="inlineStr">
        <is>
          <t>Cumulative NPV ($)</t>
        </is>
      </c>
      <c r="B17" s="12" t="n">
        <v>0</v>
      </c>
      <c r="C17" s="12">
        <f>C16/(1+Inputs!$C$10)^1</f>
        <v/>
      </c>
      <c r="D17" s="12">
        <f>C17+D16/(1+Inputs!$C$10)^2</f>
        <v/>
      </c>
      <c r="E17" s="12">
        <f>D17+E16/(1+Inputs!$C$10)^3</f>
        <v/>
      </c>
      <c r="F17" s="12">
        <f>E17+F16/(1+Inputs!$C$10)^4</f>
        <v/>
      </c>
      <c r="G17" s="12">
        <f>F17+G16/(1+Inputs!$C$10)^5</f>
        <v/>
      </c>
      <c r="H17" s="12">
        <f>G17+H16/(1+Inputs!$C$10)^6</f>
        <v/>
      </c>
      <c r="I17" s="12">
        <f>H17+I16/(1+Inputs!$C$10)^7</f>
        <v/>
      </c>
      <c r="J17" s="12">
        <f>I17+J16/(1+Inputs!$C$10)^8</f>
        <v/>
      </c>
      <c r="K17" s="12">
        <f>J17+K16/(1+Inputs!$C$10)^9</f>
        <v/>
      </c>
      <c r="L17" s="12">
        <f>K17+L16/(1+Inputs!$C$10)^10</f>
        <v/>
      </c>
      <c r="M17" s="12">
        <f>L17+M16/(1+Inputs!$C$10)^11</f>
        <v/>
      </c>
      <c r="N17" s="12">
        <f>M17+N16/(1+Inputs!$C$10)^12</f>
        <v/>
      </c>
      <c r="O17" s="12">
        <f>N17+O16/(1+Inputs!$C$10)^13</f>
        <v/>
      </c>
      <c r="P17" s="12">
        <f>O17+P16/(1+Inputs!$C$10)^14</f>
        <v/>
      </c>
      <c r="Q17" s="12">
        <f>P17+Q16/(1+Inputs!$C$10)^15</f>
        <v/>
      </c>
      <c r="R17" s="12">
        <f>Q17+R16/(1+Inputs!$C$10)^16</f>
        <v/>
      </c>
      <c r="S17" s="12">
        <f>R17+S16/(1+Inputs!$C$10)^17</f>
        <v/>
      </c>
      <c r="T17" s="12">
        <f>S17+T16/(1+Inputs!$C$10)^18</f>
        <v/>
      </c>
      <c r="U17" s="12">
        <f>T17+U16/(1+Inputs!$C$10)^19</f>
        <v/>
      </c>
      <c r="V17" s="12">
        <f>U17+V16/(1+Inputs!$C$10)^20</f>
        <v/>
      </c>
      <c r="W17" s="12">
        <f>V17+W16/(1+Inputs!$C$10)^21</f>
        <v/>
      </c>
      <c r="X17" s="12">
        <f>W17+X16/(1+Inputs!$C$10)^22</f>
        <v/>
      </c>
      <c r="Y17" s="12">
        <f>X17+Y16/(1+Inputs!$C$10)^23</f>
        <v/>
      </c>
      <c r="Z17" s="12">
        <f>Y17+Z16/(1+Inputs!$C$10)^24</f>
        <v/>
      </c>
      <c r="AA17" s="12">
        <f>Z17+AA16/(1+Inputs!$C$10)^25</f>
        <v/>
      </c>
    </row>
    <row r="18">
      <c r="A18" s="5" t="inlineStr">
        <is>
          <t>Simple Payback (yr)</t>
        </is>
      </c>
      <c r="B18" s="13" t="inlineStr">
        <is>
          <t>Simple Payback: 28.5 years</t>
        </is>
      </c>
    </row>
    <row r="22">
      <c r="A22" s="9" t="inlineStr">
        <is>
          <t>PV+Storage — VPP ($253/yr)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</row>
    <row r="23">
      <c r="A23" s="2" t="inlineStr">
        <is>
          <t>Year</t>
        </is>
      </c>
      <c r="B23" s="5" t="n">
        <v>0</v>
      </c>
      <c r="C23" s="5" t="n">
        <v>1</v>
      </c>
      <c r="D23" s="5" t="n">
        <v>2</v>
      </c>
      <c r="E23" s="5" t="n">
        <v>3</v>
      </c>
      <c r="F23" s="5" t="n">
        <v>4</v>
      </c>
      <c r="G23" s="5" t="n">
        <v>5</v>
      </c>
      <c r="H23" s="5" t="n">
        <v>6</v>
      </c>
      <c r="I23" s="5" t="n">
        <v>7</v>
      </c>
      <c r="J23" s="5" t="n">
        <v>8</v>
      </c>
      <c r="K23" s="5" t="n">
        <v>9</v>
      </c>
      <c r="L23" s="5" t="n">
        <v>10</v>
      </c>
      <c r="M23" s="5" t="n">
        <v>11</v>
      </c>
      <c r="N23" s="5" t="n">
        <v>12</v>
      </c>
      <c r="O23" s="5" t="n">
        <v>13</v>
      </c>
      <c r="P23" s="5" t="n">
        <v>14</v>
      </c>
      <c r="Q23" s="5" t="n">
        <v>15</v>
      </c>
      <c r="R23" s="5" t="n">
        <v>16</v>
      </c>
      <c r="S23" s="5" t="n">
        <v>17</v>
      </c>
      <c r="T23" s="5" t="n">
        <v>18</v>
      </c>
      <c r="U23" s="5" t="n">
        <v>19</v>
      </c>
      <c r="V23" s="5" t="n">
        <v>20</v>
      </c>
      <c r="W23" s="5" t="n">
        <v>21</v>
      </c>
      <c r="X23" s="5" t="n">
        <v>22</v>
      </c>
      <c r="Y23" s="5" t="n">
        <v>23</v>
      </c>
      <c r="Z23" s="5" t="n">
        <v>24</v>
      </c>
      <c r="AA23" s="5" t="n">
        <v>25</v>
      </c>
    </row>
    <row r="24">
      <c r="A24" s="5" t="inlineStr">
        <is>
          <t>Debt Balance ($)</t>
        </is>
      </c>
      <c r="B24" s="11" t="n">
        <v>31358.5</v>
      </c>
      <c r="C24" s="12">
        <f>B24-C26</f>
        <v/>
      </c>
      <c r="D24" s="12">
        <f>C24-D26</f>
        <v/>
      </c>
      <c r="E24" s="12">
        <f>D24-E26</f>
        <v/>
      </c>
      <c r="F24" s="12">
        <f>E24-F26</f>
        <v/>
      </c>
      <c r="G24" s="12">
        <f>F24-G26</f>
        <v/>
      </c>
      <c r="H24" s="12">
        <f>G24-H26</f>
        <v/>
      </c>
      <c r="I24" s="12">
        <f>H24-I26</f>
        <v/>
      </c>
      <c r="J24" s="12">
        <f>I24-J26</f>
        <v/>
      </c>
      <c r="K24" s="12">
        <f>J24-K26</f>
        <v/>
      </c>
      <c r="L24" s="12">
        <f>K24-L26</f>
        <v/>
      </c>
      <c r="M24" s="12">
        <f>L24-M26</f>
        <v/>
      </c>
      <c r="N24" s="12">
        <f>M24-N26</f>
        <v/>
      </c>
      <c r="O24" s="12">
        <f>N24-O26</f>
        <v/>
      </c>
      <c r="P24" s="12">
        <f>O24-P26</f>
        <v/>
      </c>
      <c r="Q24" s="12">
        <f>P24-Q26</f>
        <v/>
      </c>
      <c r="R24" s="12">
        <f>Q24-R26</f>
        <v/>
      </c>
      <c r="S24" s="12">
        <f>R24-S26</f>
        <v/>
      </c>
      <c r="T24" s="12">
        <f>S24-T26</f>
        <v/>
      </c>
      <c r="U24" s="12">
        <f>T24-U26</f>
        <v/>
      </c>
      <c r="V24" s="12">
        <f>U24-V26</f>
        <v/>
      </c>
      <c r="W24" s="12">
        <f>V24-W26</f>
        <v/>
      </c>
      <c r="X24" s="12">
        <f>W24-X26</f>
        <v/>
      </c>
      <c r="Y24" s="12">
        <f>X24-Y26</f>
        <v/>
      </c>
      <c r="Z24" s="12">
        <f>Y24-Z26</f>
        <v/>
      </c>
      <c r="AA24" s="12">
        <f>Z24-AA26</f>
        <v/>
      </c>
    </row>
    <row r="25">
      <c r="A25" s="5" t="inlineStr">
        <is>
          <t>Interest Payment ($)</t>
        </is>
      </c>
      <c r="B25" s="12" t="n">
        <v>0</v>
      </c>
      <c r="C25" s="12">
        <f>B24*Inputs!$C$8</f>
        <v/>
      </c>
      <c r="D25" s="12">
        <f>C24*Inputs!$C$8</f>
        <v/>
      </c>
      <c r="E25" s="12">
        <f>D24*Inputs!$C$8</f>
        <v/>
      </c>
      <c r="F25" s="12">
        <f>E24*Inputs!$C$8</f>
        <v/>
      </c>
      <c r="G25" s="12">
        <f>F24*Inputs!$C$8</f>
        <v/>
      </c>
      <c r="H25" s="12">
        <f>G24*Inputs!$C$8</f>
        <v/>
      </c>
      <c r="I25" s="12">
        <f>H24*Inputs!$C$8</f>
        <v/>
      </c>
      <c r="J25" s="12">
        <f>I24*Inputs!$C$8</f>
        <v/>
      </c>
      <c r="K25" s="12">
        <f>J24*Inputs!$C$8</f>
        <v/>
      </c>
      <c r="L25" s="12">
        <f>K24*Inputs!$C$8</f>
        <v/>
      </c>
      <c r="M25" s="12">
        <f>L24*Inputs!$C$8</f>
        <v/>
      </c>
      <c r="N25" s="12">
        <f>M24*Inputs!$C$8</f>
        <v/>
      </c>
      <c r="O25" s="12">
        <f>N24*Inputs!$C$8</f>
        <v/>
      </c>
      <c r="P25" s="12">
        <f>O24*Inputs!$C$8</f>
        <v/>
      </c>
      <c r="Q25" s="12">
        <f>P24*Inputs!$C$8</f>
        <v/>
      </c>
      <c r="R25" s="12">
        <f>Q24*Inputs!$C$8</f>
        <v/>
      </c>
      <c r="S25" s="12">
        <f>R24*Inputs!$C$8</f>
        <v/>
      </c>
      <c r="T25" s="12">
        <f>S24*Inputs!$C$8</f>
        <v/>
      </c>
      <c r="U25" s="12">
        <f>T24*Inputs!$C$8</f>
        <v/>
      </c>
      <c r="V25" s="12">
        <f>U24*Inputs!$C$8</f>
        <v/>
      </c>
      <c r="W25" s="12">
        <f>V24*Inputs!$C$8</f>
        <v/>
      </c>
      <c r="X25" s="12">
        <f>W24*Inputs!$C$8</f>
        <v/>
      </c>
      <c r="Y25" s="12">
        <f>X24*Inputs!$C$8</f>
        <v/>
      </c>
      <c r="Z25" s="12">
        <f>Y24*Inputs!$C$8</f>
        <v/>
      </c>
      <c r="AA25" s="12">
        <f>Z24*Inputs!$C$8</f>
        <v/>
      </c>
    </row>
    <row r="26">
      <c r="A26" s="5" t="inlineStr">
        <is>
          <t>Principal Payment ($)</t>
        </is>
      </c>
      <c r="B26" s="12" t="n">
        <v>0</v>
      </c>
      <c r="C26" s="12">
        <f>-PMT(Inputs!$C$8,Inputs!$C$9,$B$24)-C25</f>
        <v/>
      </c>
      <c r="D26" s="12">
        <f>-PMT(Inputs!$C$8,Inputs!$C$9,$B$24)-D25</f>
        <v/>
      </c>
      <c r="E26" s="12">
        <f>-PMT(Inputs!$C$8,Inputs!$C$9,$B$24)-E25</f>
        <v/>
      </c>
      <c r="F26" s="12">
        <f>-PMT(Inputs!$C$8,Inputs!$C$9,$B$24)-F25</f>
        <v/>
      </c>
      <c r="G26" s="12">
        <f>-PMT(Inputs!$C$8,Inputs!$C$9,$B$24)-G25</f>
        <v/>
      </c>
      <c r="H26" s="12">
        <f>-PMT(Inputs!$C$8,Inputs!$C$9,$B$24)-H25</f>
        <v/>
      </c>
      <c r="I26" s="12">
        <f>-PMT(Inputs!$C$8,Inputs!$C$9,$B$24)-I25</f>
        <v/>
      </c>
      <c r="J26" s="12">
        <f>-PMT(Inputs!$C$8,Inputs!$C$9,$B$24)-J25</f>
        <v/>
      </c>
      <c r="K26" s="12">
        <f>-PMT(Inputs!$C$8,Inputs!$C$9,$B$24)-K25</f>
        <v/>
      </c>
      <c r="L26" s="12">
        <f>-PMT(Inputs!$C$8,Inputs!$C$9,$B$24)-L25</f>
        <v/>
      </c>
      <c r="M26" s="12">
        <f>-PMT(Inputs!$C$8,Inputs!$C$9,$B$24)-M25</f>
        <v/>
      </c>
      <c r="N26" s="12">
        <f>-PMT(Inputs!$C$8,Inputs!$C$9,$B$24)-N25</f>
        <v/>
      </c>
      <c r="O26" s="12">
        <f>-PMT(Inputs!$C$8,Inputs!$C$9,$B$24)-O25</f>
        <v/>
      </c>
      <c r="P26" s="12">
        <f>-PMT(Inputs!$C$8,Inputs!$C$9,$B$24)-P25</f>
        <v/>
      </c>
      <c r="Q26" s="12">
        <f>-PMT(Inputs!$C$8,Inputs!$C$9,$B$24)-Q25</f>
        <v/>
      </c>
      <c r="R26" s="12">
        <f>-PMT(Inputs!$C$8,Inputs!$C$9,$B$24)-R25</f>
        <v/>
      </c>
      <c r="S26" s="12">
        <f>-PMT(Inputs!$C$8,Inputs!$C$9,$B$24)-S25</f>
        <v/>
      </c>
      <c r="T26" s="12">
        <f>-PMT(Inputs!$C$8,Inputs!$C$9,$B$24)-T25</f>
        <v/>
      </c>
      <c r="U26" s="12">
        <f>-PMT(Inputs!$C$8,Inputs!$C$9,$B$24)-U25</f>
        <v/>
      </c>
      <c r="V26" s="12">
        <f>-PMT(Inputs!$C$8,Inputs!$C$9,$B$24)-V25</f>
        <v/>
      </c>
      <c r="W26" s="12">
        <f>-PMT(Inputs!$C$8,Inputs!$C$9,$B$24)-W25</f>
        <v/>
      </c>
      <c r="X26" s="12">
        <f>-PMT(Inputs!$C$8,Inputs!$C$9,$B$24)-X25</f>
        <v/>
      </c>
      <c r="Y26" s="12">
        <f>-PMT(Inputs!$C$8,Inputs!$C$9,$B$24)-Y25</f>
        <v/>
      </c>
      <c r="Z26" s="12">
        <f>-PMT(Inputs!$C$8,Inputs!$C$9,$B$24)-Z25</f>
        <v/>
      </c>
      <c r="AA26" s="12">
        <f>-PMT(Inputs!$C$8,Inputs!$C$9,$B$24)-AA25</f>
        <v/>
      </c>
    </row>
    <row r="27">
      <c r="A27" s="5" t="inlineStr">
        <is>
          <t>Total P&amp;I Payment ($)</t>
        </is>
      </c>
      <c r="B27" s="12" t="n">
        <v>0</v>
      </c>
      <c r="C27" s="12">
        <f>C25+C26</f>
        <v/>
      </c>
      <c r="D27" s="12">
        <f>D25+D26</f>
        <v/>
      </c>
      <c r="E27" s="12">
        <f>E25+E26</f>
        <v/>
      </c>
      <c r="F27" s="12">
        <f>F25+F26</f>
        <v/>
      </c>
      <c r="G27" s="12">
        <f>G25+G26</f>
        <v/>
      </c>
      <c r="H27" s="12">
        <f>H25+H26</f>
        <v/>
      </c>
      <c r="I27" s="12">
        <f>I25+I26</f>
        <v/>
      </c>
      <c r="J27" s="12">
        <f>J25+J26</f>
        <v/>
      </c>
      <c r="K27" s="12">
        <f>K25+K26</f>
        <v/>
      </c>
      <c r="L27" s="12">
        <f>L25+L26</f>
        <v/>
      </c>
      <c r="M27" s="12">
        <f>M25+M26</f>
        <v/>
      </c>
      <c r="N27" s="12">
        <f>N25+N26</f>
        <v/>
      </c>
      <c r="O27" s="12">
        <f>O25+O26</f>
        <v/>
      </c>
      <c r="P27" s="12">
        <f>P25+P26</f>
        <v/>
      </c>
      <c r="Q27" s="12">
        <f>Q25+Q26</f>
        <v/>
      </c>
      <c r="R27" s="12">
        <f>R25+R26</f>
        <v/>
      </c>
      <c r="S27" s="12">
        <f>S25+S26</f>
        <v/>
      </c>
      <c r="T27" s="12">
        <f>T25+T26</f>
        <v/>
      </c>
      <c r="U27" s="12">
        <f>U25+U26</f>
        <v/>
      </c>
      <c r="V27" s="12">
        <f>V25+V26</f>
        <v/>
      </c>
      <c r="W27" s="12">
        <f>W25+W26</f>
        <v/>
      </c>
      <c r="X27" s="12">
        <f>X25+X26</f>
        <v/>
      </c>
      <c r="Y27" s="12">
        <f>Y25+Y26</f>
        <v/>
      </c>
      <c r="Z27" s="12">
        <f>Z25+Z26</f>
        <v/>
      </c>
      <c r="AA27" s="12">
        <f>AA25+AA26</f>
        <v/>
      </c>
    </row>
    <row r="28">
      <c r="A28" s="5" t="inlineStr">
        <is>
          <t>Bill w/o System ($)</t>
        </is>
      </c>
      <c r="B28" s="12" t="n">
        <v>0</v>
      </c>
      <c r="C28" s="11" t="n">
        <v>2786.95</v>
      </c>
      <c r="D28" s="12">
        <f>C28*(1+Inputs!$C$11)</f>
        <v/>
      </c>
      <c r="E28" s="12">
        <f>D28*(1+Inputs!$C$11)</f>
        <v/>
      </c>
      <c r="F28" s="12">
        <f>E28*(1+Inputs!$C$11)</f>
        <v/>
      </c>
      <c r="G28" s="12">
        <f>F28*(1+Inputs!$C$11)</f>
        <v/>
      </c>
      <c r="H28" s="12">
        <f>G28*(1+Inputs!$C$11)</f>
        <v/>
      </c>
      <c r="I28" s="12">
        <f>H28*(1+Inputs!$C$11)</f>
        <v/>
      </c>
      <c r="J28" s="12">
        <f>I28*(1+Inputs!$C$11)</f>
        <v/>
      </c>
      <c r="K28" s="12">
        <f>J28*(1+Inputs!$C$11)</f>
        <v/>
      </c>
      <c r="L28" s="12">
        <f>K28*(1+Inputs!$C$11)</f>
        <v/>
      </c>
      <c r="M28" s="12">
        <f>L28*(1+Inputs!$C$11)</f>
        <v/>
      </c>
      <c r="N28" s="12">
        <f>M28*(1+Inputs!$C$11)</f>
        <v/>
      </c>
      <c r="O28" s="12">
        <f>N28*(1+Inputs!$C$11)</f>
        <v/>
      </c>
      <c r="P28" s="12">
        <f>O28*(1+Inputs!$C$11)</f>
        <v/>
      </c>
      <c r="Q28" s="12">
        <f>P28*(1+Inputs!$C$11)</f>
        <v/>
      </c>
      <c r="R28" s="12">
        <f>Q28*(1+Inputs!$C$11)</f>
        <v/>
      </c>
      <c r="S28" s="12">
        <f>R28*(1+Inputs!$C$11)</f>
        <v/>
      </c>
      <c r="T28" s="12">
        <f>S28*(1+Inputs!$C$11)</f>
        <v/>
      </c>
      <c r="U28" s="12">
        <f>T28*(1+Inputs!$C$11)</f>
        <v/>
      </c>
      <c r="V28" s="12">
        <f>U28*(1+Inputs!$C$11)</f>
        <v/>
      </c>
      <c r="W28" s="12">
        <f>V28*(1+Inputs!$C$11)</f>
        <v/>
      </c>
      <c r="X28" s="12">
        <f>W28*(1+Inputs!$C$11)</f>
        <v/>
      </c>
      <c r="Y28" s="12">
        <f>X28*(1+Inputs!$C$11)</f>
        <v/>
      </c>
      <c r="Z28" s="12">
        <f>Y28*(1+Inputs!$C$11)</f>
        <v/>
      </c>
      <c r="AA28" s="12">
        <f>Z28*(1+Inputs!$C$11)</f>
        <v/>
      </c>
    </row>
    <row r="29">
      <c r="A29" s="5" t="inlineStr">
        <is>
          <t>Bill w/ System ($)</t>
        </is>
      </c>
      <c r="B29" s="12" t="n">
        <v>0</v>
      </c>
      <c r="C29" s="11" t="n">
        <v>1688.15</v>
      </c>
      <c r="D29" s="12">
        <f>D28-1098.8*(1+Inputs!$C$11)^(2-1)</f>
        <v/>
      </c>
      <c r="E29" s="12">
        <f>E28-1098.8*(1+Inputs!$C$11)^(3-1)</f>
        <v/>
      </c>
      <c r="F29" s="12">
        <f>F28-1098.8*(1+Inputs!$C$11)^(4-1)</f>
        <v/>
      </c>
      <c r="G29" s="12">
        <f>G28-1098.8*(1+Inputs!$C$11)^(5-1)</f>
        <v/>
      </c>
      <c r="H29" s="12">
        <f>H28-1098.8*(1+Inputs!$C$11)^(6-1)</f>
        <v/>
      </c>
      <c r="I29" s="12">
        <f>I28-1098.8*(1+Inputs!$C$11)^(7-1)</f>
        <v/>
      </c>
      <c r="J29" s="12">
        <f>J28-1098.8*(1+Inputs!$C$11)^(8-1)</f>
        <v/>
      </c>
      <c r="K29" s="12">
        <f>K28-1098.8*(1+Inputs!$C$11)^(9-1)</f>
        <v/>
      </c>
      <c r="L29" s="12">
        <f>L28-1098.8*(1+Inputs!$C$11)^(10-1)</f>
        <v/>
      </c>
      <c r="M29" s="12">
        <f>M28-1098.8*(1+Inputs!$C$11)^(11-1)</f>
        <v/>
      </c>
      <c r="N29" s="12">
        <f>N28-1098.8*(1+Inputs!$C$11)^(12-1)</f>
        <v/>
      </c>
      <c r="O29" s="12">
        <f>O28-1098.8*(1+Inputs!$C$11)^(13-1)</f>
        <v/>
      </c>
      <c r="P29" s="12">
        <f>P28-1098.8*(1+Inputs!$C$11)^(14-1)</f>
        <v/>
      </c>
      <c r="Q29" s="12">
        <f>Q28-1098.8*(1+Inputs!$C$11)^(15-1)</f>
        <v/>
      </c>
      <c r="R29" s="12">
        <f>R28-1098.8*(1+Inputs!$C$11)^(16-1)</f>
        <v/>
      </c>
      <c r="S29" s="12">
        <f>S28-1098.8*(1+Inputs!$C$11)^(17-1)</f>
        <v/>
      </c>
      <c r="T29" s="12">
        <f>T28-1098.8*(1+Inputs!$C$11)^(18-1)</f>
        <v/>
      </c>
      <c r="U29" s="12">
        <f>U28-1098.8*(1+Inputs!$C$11)^(19-1)</f>
        <v/>
      </c>
      <c r="V29" s="12">
        <f>V28-1098.8*(1+Inputs!$C$11)^(20-1)</f>
        <v/>
      </c>
      <c r="W29" s="12">
        <f>W28-1098.8*(1+Inputs!$C$11)^(21-1)</f>
        <v/>
      </c>
      <c r="X29" s="12">
        <f>X28-1098.8*(1+Inputs!$C$11)^(22-1)</f>
        <v/>
      </c>
      <c r="Y29" s="12">
        <f>Y28-1098.8*(1+Inputs!$C$11)^(23-1)</f>
        <v/>
      </c>
      <c r="Z29" s="12">
        <f>Z28-1098.8*(1+Inputs!$C$11)^(24-1)</f>
        <v/>
      </c>
      <c r="AA29" s="12">
        <f>AA28-1098.8*(1+Inputs!$C$11)^(25-1)</f>
        <v/>
      </c>
    </row>
    <row r="30">
      <c r="A30" s="5" t="inlineStr">
        <is>
          <t>Bill Savings ($)</t>
        </is>
      </c>
      <c r="B30" s="12" t="n">
        <v>0</v>
      </c>
      <c r="C30" s="12">
        <f>C28-C29</f>
        <v/>
      </c>
      <c r="D30" s="12">
        <f>D28-D29</f>
        <v/>
      </c>
      <c r="E30" s="12">
        <f>E28-E29</f>
        <v/>
      </c>
      <c r="F30" s="12">
        <f>F28-F29</f>
        <v/>
      </c>
      <c r="G30" s="12">
        <f>G28-G29</f>
        <v/>
      </c>
      <c r="H30" s="12">
        <f>H28-H29</f>
        <v/>
      </c>
      <c r="I30" s="12">
        <f>I28-I29</f>
        <v/>
      </c>
      <c r="J30" s="12">
        <f>J28-J29</f>
        <v/>
      </c>
      <c r="K30" s="12">
        <f>K28-K29</f>
        <v/>
      </c>
      <c r="L30" s="12">
        <f>L28-L29</f>
        <v/>
      </c>
      <c r="M30" s="12">
        <f>M28-M29</f>
        <v/>
      </c>
      <c r="N30" s="12">
        <f>N28-N29</f>
        <v/>
      </c>
      <c r="O30" s="12">
        <f>O28-O29</f>
        <v/>
      </c>
      <c r="P30" s="12">
        <f>P28-P29</f>
        <v/>
      </c>
      <c r="Q30" s="12">
        <f>Q28-Q29</f>
        <v/>
      </c>
      <c r="R30" s="12">
        <f>R28-R29</f>
        <v/>
      </c>
      <c r="S30" s="12">
        <f>S28-S29</f>
        <v/>
      </c>
      <c r="T30" s="12">
        <f>T28-T29</f>
        <v/>
      </c>
      <c r="U30" s="12">
        <f>U28-U29</f>
        <v/>
      </c>
      <c r="V30" s="12">
        <f>V28-V29</f>
        <v/>
      </c>
      <c r="W30" s="12">
        <f>W28-W29</f>
        <v/>
      </c>
      <c r="X30" s="12">
        <f>X28-X29</f>
        <v/>
      </c>
      <c r="Y30" s="12">
        <f>Y28-Y29</f>
        <v/>
      </c>
      <c r="Z30" s="12">
        <f>Z28-Z29</f>
        <v/>
      </c>
      <c r="AA30" s="12">
        <f>AA28-AA29</f>
        <v/>
      </c>
    </row>
    <row r="31">
      <c r="A31" s="5" t="inlineStr">
        <is>
          <t>VPP Revenue ($)</t>
        </is>
      </c>
      <c r="B31" s="12" t="n">
        <v>0</v>
      </c>
      <c r="C31" s="11" t="n">
        <v>253</v>
      </c>
      <c r="D31" s="11" t="n">
        <v>253</v>
      </c>
      <c r="E31" s="11" t="n">
        <v>253</v>
      </c>
      <c r="F31" s="11" t="n">
        <v>253</v>
      </c>
      <c r="G31" s="11" t="n">
        <v>253</v>
      </c>
      <c r="H31" s="11" t="n">
        <v>253</v>
      </c>
      <c r="I31" s="11" t="n">
        <v>253</v>
      </c>
      <c r="J31" s="11" t="n">
        <v>253</v>
      </c>
      <c r="K31" s="11" t="n">
        <v>253</v>
      </c>
      <c r="L31" s="11" t="n">
        <v>253</v>
      </c>
      <c r="M31" s="11" t="n">
        <v>253</v>
      </c>
      <c r="N31" s="11" t="n">
        <v>253</v>
      </c>
      <c r="O31" s="11" t="n">
        <v>253</v>
      </c>
      <c r="P31" s="11" t="n">
        <v>253</v>
      </c>
      <c r="Q31" s="11" t="n">
        <v>253</v>
      </c>
      <c r="R31" s="11" t="n">
        <v>253</v>
      </c>
      <c r="S31" s="11" t="n">
        <v>253</v>
      </c>
      <c r="T31" s="11" t="n">
        <v>253</v>
      </c>
      <c r="U31" s="11" t="n">
        <v>253</v>
      </c>
      <c r="V31" s="11" t="n">
        <v>253</v>
      </c>
      <c r="W31" s="11" t="n">
        <v>253</v>
      </c>
      <c r="X31" s="11" t="n">
        <v>253</v>
      </c>
      <c r="Y31" s="11" t="n">
        <v>253</v>
      </c>
      <c r="Z31" s="11" t="n">
        <v>253</v>
      </c>
      <c r="AA31" s="11" t="n">
        <v>253</v>
      </c>
    </row>
    <row r="32">
      <c r="A32" s="5" t="inlineStr">
        <is>
          <t>Total Savings ($)</t>
        </is>
      </c>
      <c r="B32" s="12" t="n">
        <v>0</v>
      </c>
      <c r="C32" s="12">
        <f>C30+C31</f>
        <v/>
      </c>
      <c r="D32" s="12">
        <f>D30+D31</f>
        <v/>
      </c>
      <c r="E32" s="12">
        <f>E30+E31</f>
        <v/>
      </c>
      <c r="F32" s="12">
        <f>F30+F31</f>
        <v/>
      </c>
      <c r="G32" s="12">
        <f>G30+G31</f>
        <v/>
      </c>
      <c r="H32" s="12">
        <f>H30+H31</f>
        <v/>
      </c>
      <c r="I32" s="12">
        <f>I30+I31</f>
        <v/>
      </c>
      <c r="J32" s="12">
        <f>J30+J31</f>
        <v/>
      </c>
      <c r="K32" s="12">
        <f>K30+K31</f>
        <v/>
      </c>
      <c r="L32" s="12">
        <f>L30+L31</f>
        <v/>
      </c>
      <c r="M32" s="12">
        <f>M30+M31</f>
        <v/>
      </c>
      <c r="N32" s="12">
        <f>N30+N31</f>
        <v/>
      </c>
      <c r="O32" s="12">
        <f>O30+O31</f>
        <v/>
      </c>
      <c r="P32" s="12">
        <f>P30+P31</f>
        <v/>
      </c>
      <c r="Q32" s="12">
        <f>Q30+Q31</f>
        <v/>
      </c>
      <c r="R32" s="12">
        <f>R30+R31</f>
        <v/>
      </c>
      <c r="S32" s="12">
        <f>S30+S31</f>
        <v/>
      </c>
      <c r="T32" s="12">
        <f>T30+T31</f>
        <v/>
      </c>
      <c r="U32" s="12">
        <f>U30+U31</f>
        <v/>
      </c>
      <c r="V32" s="12">
        <f>V30+V31</f>
        <v/>
      </c>
      <c r="W32" s="12">
        <f>W30+W31</f>
        <v/>
      </c>
      <c r="X32" s="12">
        <f>X30+X31</f>
        <v/>
      </c>
      <c r="Y32" s="12">
        <f>Y30+Y31</f>
        <v/>
      </c>
      <c r="Z32" s="12">
        <f>Z30+Z31</f>
        <v/>
      </c>
      <c r="AA32" s="12">
        <f>AA30+AA31</f>
        <v/>
      </c>
    </row>
    <row r="33">
      <c r="A33" s="5" t="inlineStr">
        <is>
          <t>Net Savings ($)</t>
        </is>
      </c>
      <c r="B33" s="12" t="n">
        <v>0</v>
      </c>
      <c r="C33" s="12">
        <f>C32-C27</f>
        <v/>
      </c>
      <c r="D33" s="12">
        <f>D32-D27</f>
        <v/>
      </c>
      <c r="E33" s="12">
        <f>E32-E27</f>
        <v/>
      </c>
      <c r="F33" s="12">
        <f>F32-F27</f>
        <v/>
      </c>
      <c r="G33" s="12">
        <f>G32-G27</f>
        <v/>
      </c>
      <c r="H33" s="12">
        <f>H32-H27</f>
        <v/>
      </c>
      <c r="I33" s="12">
        <f>I32-I27</f>
        <v/>
      </c>
      <c r="J33" s="12">
        <f>J32-J27</f>
        <v/>
      </c>
      <c r="K33" s="12">
        <f>K32-K27</f>
        <v/>
      </c>
      <c r="L33" s="12">
        <f>L32-L27</f>
        <v/>
      </c>
      <c r="M33" s="12">
        <f>M32-M27</f>
        <v/>
      </c>
      <c r="N33" s="12">
        <f>N32-N27</f>
        <v/>
      </c>
      <c r="O33" s="12">
        <f>O32-O27</f>
        <v/>
      </c>
      <c r="P33" s="12">
        <f>P32-P27</f>
        <v/>
      </c>
      <c r="Q33" s="12">
        <f>Q32-Q27</f>
        <v/>
      </c>
      <c r="R33" s="12">
        <f>R32-R27</f>
        <v/>
      </c>
      <c r="S33" s="12">
        <f>S32-S27</f>
        <v/>
      </c>
      <c r="T33" s="12">
        <f>T32-T27</f>
        <v/>
      </c>
      <c r="U33" s="12">
        <f>U32-U27</f>
        <v/>
      </c>
      <c r="V33" s="12">
        <f>V32-V27</f>
        <v/>
      </c>
      <c r="W33" s="12">
        <f>W32-W27</f>
        <v/>
      </c>
      <c r="X33" s="12">
        <f>X32-X27</f>
        <v/>
      </c>
      <c r="Y33" s="12">
        <f>Y32-Y27</f>
        <v/>
      </c>
      <c r="Z33" s="12">
        <f>Z32-Z27</f>
        <v/>
      </c>
      <c r="AA33" s="12">
        <f>AA32-AA27</f>
        <v/>
      </c>
    </row>
    <row r="34">
      <c r="A34" s="5" t="inlineStr">
        <is>
          <t>Cumulative NPV ($)</t>
        </is>
      </c>
      <c r="B34" s="12" t="n">
        <v>0</v>
      </c>
      <c r="C34" s="12">
        <f>C33/(1+Inputs!$C$10)^1</f>
        <v/>
      </c>
      <c r="D34" s="12">
        <f>C34+D33/(1+Inputs!$C$10)^2</f>
        <v/>
      </c>
      <c r="E34" s="12">
        <f>D34+E33/(1+Inputs!$C$10)^3</f>
        <v/>
      </c>
      <c r="F34" s="12">
        <f>E34+F33/(1+Inputs!$C$10)^4</f>
        <v/>
      </c>
      <c r="G34" s="12">
        <f>F34+G33/(1+Inputs!$C$10)^5</f>
        <v/>
      </c>
      <c r="H34" s="12">
        <f>G34+H33/(1+Inputs!$C$10)^6</f>
        <v/>
      </c>
      <c r="I34" s="12">
        <f>H34+I33/(1+Inputs!$C$10)^7</f>
        <v/>
      </c>
      <c r="J34" s="12">
        <f>I34+J33/(1+Inputs!$C$10)^8</f>
        <v/>
      </c>
      <c r="K34" s="12">
        <f>J34+K33/(1+Inputs!$C$10)^9</f>
        <v/>
      </c>
      <c r="L34" s="12">
        <f>K34+L33/(1+Inputs!$C$10)^10</f>
        <v/>
      </c>
      <c r="M34" s="12">
        <f>L34+M33/(1+Inputs!$C$10)^11</f>
        <v/>
      </c>
      <c r="N34" s="12">
        <f>M34+N33/(1+Inputs!$C$10)^12</f>
        <v/>
      </c>
      <c r="O34" s="12">
        <f>N34+O33/(1+Inputs!$C$10)^13</f>
        <v/>
      </c>
      <c r="P34" s="12">
        <f>O34+P33/(1+Inputs!$C$10)^14</f>
        <v/>
      </c>
      <c r="Q34" s="12">
        <f>P34+Q33/(1+Inputs!$C$10)^15</f>
        <v/>
      </c>
      <c r="R34" s="12">
        <f>Q34+R33/(1+Inputs!$C$10)^16</f>
        <v/>
      </c>
      <c r="S34" s="12">
        <f>R34+S33/(1+Inputs!$C$10)^17</f>
        <v/>
      </c>
      <c r="T34" s="12">
        <f>S34+T33/(1+Inputs!$C$10)^18</f>
        <v/>
      </c>
      <c r="U34" s="12">
        <f>T34+U33/(1+Inputs!$C$10)^19</f>
        <v/>
      </c>
      <c r="V34" s="12">
        <f>U34+V33/(1+Inputs!$C$10)^20</f>
        <v/>
      </c>
      <c r="W34" s="12">
        <f>V34+W33/(1+Inputs!$C$10)^21</f>
        <v/>
      </c>
      <c r="X34" s="12">
        <f>W34+X33/(1+Inputs!$C$10)^22</f>
        <v/>
      </c>
      <c r="Y34" s="12">
        <f>X34+Y33/(1+Inputs!$C$10)^23</f>
        <v/>
      </c>
      <c r="Z34" s="12">
        <f>Y34+Z33/(1+Inputs!$C$10)^24</f>
        <v/>
      </c>
      <c r="AA34" s="12">
        <f>Z34+AA33/(1+Inputs!$C$10)^25</f>
        <v/>
      </c>
    </row>
    <row r="35">
      <c r="A35" s="5" t="inlineStr">
        <is>
          <t>Simple Payback (yr)</t>
        </is>
      </c>
      <c r="B35" s="13" t="inlineStr">
        <is>
          <t>Simple Payback: 23.2 years</t>
        </is>
      </c>
    </row>
    <row r="39">
      <c r="A39" s="9" t="inlineStr">
        <is>
          <t>Solar Only — No Incentives (Reference)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</row>
    <row r="40">
      <c r="A40" s="2" t="inlineStr">
        <is>
          <t>Year</t>
        </is>
      </c>
      <c r="B40" s="5" t="n">
        <v>0</v>
      </c>
      <c r="C40" s="5" t="n">
        <v>1</v>
      </c>
      <c r="D40" s="5" t="n">
        <v>2</v>
      </c>
      <c r="E40" s="5" t="n">
        <v>3</v>
      </c>
      <c r="F40" s="5" t="n">
        <v>4</v>
      </c>
      <c r="G40" s="5" t="n">
        <v>5</v>
      </c>
      <c r="H40" s="5" t="n">
        <v>6</v>
      </c>
      <c r="I40" s="5" t="n">
        <v>7</v>
      </c>
      <c r="J40" s="5" t="n">
        <v>8</v>
      </c>
      <c r="K40" s="5" t="n">
        <v>9</v>
      </c>
      <c r="L40" s="5" t="n">
        <v>10</v>
      </c>
      <c r="M40" s="5" t="n">
        <v>11</v>
      </c>
      <c r="N40" s="5" t="n">
        <v>12</v>
      </c>
      <c r="O40" s="5" t="n">
        <v>13</v>
      </c>
      <c r="P40" s="5" t="n">
        <v>14</v>
      </c>
      <c r="Q40" s="5" t="n">
        <v>15</v>
      </c>
      <c r="R40" s="5" t="n">
        <v>16</v>
      </c>
      <c r="S40" s="5" t="n">
        <v>17</v>
      </c>
      <c r="T40" s="5" t="n">
        <v>18</v>
      </c>
      <c r="U40" s="5" t="n">
        <v>19</v>
      </c>
      <c r="V40" s="5" t="n">
        <v>20</v>
      </c>
      <c r="W40" s="5" t="n">
        <v>21</v>
      </c>
      <c r="X40" s="5" t="n">
        <v>22</v>
      </c>
      <c r="Y40" s="5" t="n">
        <v>23</v>
      </c>
      <c r="Z40" s="5" t="n">
        <v>24</v>
      </c>
      <c r="AA40" s="5" t="n">
        <v>25</v>
      </c>
    </row>
    <row r="41">
      <c r="A41" s="5" t="inlineStr">
        <is>
          <t>Debt Balance ($)</t>
        </is>
      </c>
      <c r="B41" s="11" t="n">
        <v>16481.5</v>
      </c>
      <c r="C41" s="12">
        <f>B41-C43</f>
        <v/>
      </c>
      <c r="D41" s="12">
        <f>C41-D43</f>
        <v/>
      </c>
      <c r="E41" s="12">
        <f>D41-E43</f>
        <v/>
      </c>
      <c r="F41" s="12">
        <f>E41-F43</f>
        <v/>
      </c>
      <c r="G41" s="12">
        <f>F41-G43</f>
        <v/>
      </c>
      <c r="H41" s="12">
        <f>G41-H43</f>
        <v/>
      </c>
      <c r="I41" s="12">
        <f>H41-I43</f>
        <v/>
      </c>
      <c r="J41" s="12">
        <f>I41-J43</f>
        <v/>
      </c>
      <c r="K41" s="12">
        <f>J41-K43</f>
        <v/>
      </c>
      <c r="L41" s="12">
        <f>K41-L43</f>
        <v/>
      </c>
      <c r="M41" s="12">
        <f>L41-M43</f>
        <v/>
      </c>
      <c r="N41" s="12">
        <f>M41-N43</f>
        <v/>
      </c>
      <c r="O41" s="12">
        <f>N41-O43</f>
        <v/>
      </c>
      <c r="P41" s="12">
        <f>O41-P43</f>
        <v/>
      </c>
      <c r="Q41" s="12">
        <f>P41-Q43</f>
        <v/>
      </c>
      <c r="R41" s="12">
        <f>Q41-R43</f>
        <v/>
      </c>
      <c r="S41" s="12">
        <f>R41-S43</f>
        <v/>
      </c>
      <c r="T41" s="12">
        <f>S41-T43</f>
        <v/>
      </c>
      <c r="U41" s="12">
        <f>T41-U43</f>
        <v/>
      </c>
      <c r="V41" s="12">
        <f>U41-V43</f>
        <v/>
      </c>
      <c r="W41" s="12">
        <f>V41-W43</f>
        <v/>
      </c>
      <c r="X41" s="12">
        <f>W41-X43</f>
        <v/>
      </c>
      <c r="Y41" s="12">
        <f>X41-Y43</f>
        <v/>
      </c>
      <c r="Z41" s="12">
        <f>Y41-Z43</f>
        <v/>
      </c>
      <c r="AA41" s="12">
        <f>Z41-AA43</f>
        <v/>
      </c>
    </row>
    <row r="42">
      <c r="A42" s="5" t="inlineStr">
        <is>
          <t>Interest Payment ($)</t>
        </is>
      </c>
      <c r="B42" s="12" t="n">
        <v>0</v>
      </c>
      <c r="C42" s="12">
        <f>B41*Inputs!$C$8</f>
        <v/>
      </c>
      <c r="D42" s="12">
        <f>C41*Inputs!$C$8</f>
        <v/>
      </c>
      <c r="E42" s="12">
        <f>D41*Inputs!$C$8</f>
        <v/>
      </c>
      <c r="F42" s="12">
        <f>E41*Inputs!$C$8</f>
        <v/>
      </c>
      <c r="G42" s="12">
        <f>F41*Inputs!$C$8</f>
        <v/>
      </c>
      <c r="H42" s="12">
        <f>G41*Inputs!$C$8</f>
        <v/>
      </c>
      <c r="I42" s="12">
        <f>H41*Inputs!$C$8</f>
        <v/>
      </c>
      <c r="J42" s="12">
        <f>I41*Inputs!$C$8</f>
        <v/>
      </c>
      <c r="K42" s="12">
        <f>J41*Inputs!$C$8</f>
        <v/>
      </c>
      <c r="L42" s="12">
        <f>K41*Inputs!$C$8</f>
        <v/>
      </c>
      <c r="M42" s="12">
        <f>L41*Inputs!$C$8</f>
        <v/>
      </c>
      <c r="N42" s="12">
        <f>M41*Inputs!$C$8</f>
        <v/>
      </c>
      <c r="O42" s="12">
        <f>N41*Inputs!$C$8</f>
        <v/>
      </c>
      <c r="P42" s="12">
        <f>O41*Inputs!$C$8</f>
        <v/>
      </c>
      <c r="Q42" s="12">
        <f>P41*Inputs!$C$8</f>
        <v/>
      </c>
      <c r="R42" s="12">
        <f>Q41*Inputs!$C$8</f>
        <v/>
      </c>
      <c r="S42" s="12">
        <f>R41*Inputs!$C$8</f>
        <v/>
      </c>
      <c r="T42" s="12">
        <f>S41*Inputs!$C$8</f>
        <v/>
      </c>
      <c r="U42" s="12">
        <f>T41*Inputs!$C$8</f>
        <v/>
      </c>
      <c r="V42" s="12">
        <f>U41*Inputs!$C$8</f>
        <v/>
      </c>
      <c r="W42" s="12">
        <f>V41*Inputs!$C$8</f>
        <v/>
      </c>
      <c r="X42" s="12">
        <f>W41*Inputs!$C$8</f>
        <v/>
      </c>
      <c r="Y42" s="12">
        <f>X41*Inputs!$C$8</f>
        <v/>
      </c>
      <c r="Z42" s="12">
        <f>Y41*Inputs!$C$8</f>
        <v/>
      </c>
      <c r="AA42" s="12">
        <f>Z41*Inputs!$C$8</f>
        <v/>
      </c>
    </row>
    <row r="43">
      <c r="A43" s="5" t="inlineStr">
        <is>
          <t>Principal Payment ($)</t>
        </is>
      </c>
      <c r="B43" s="12" t="n">
        <v>0</v>
      </c>
      <c r="C43" s="12">
        <f>-PMT(Inputs!$C$8,Inputs!$C$9,$B$41)-C42</f>
        <v/>
      </c>
      <c r="D43" s="12">
        <f>-PMT(Inputs!$C$8,Inputs!$C$9,$B$41)-D42</f>
        <v/>
      </c>
      <c r="E43" s="12">
        <f>-PMT(Inputs!$C$8,Inputs!$C$9,$B$41)-E42</f>
        <v/>
      </c>
      <c r="F43" s="12">
        <f>-PMT(Inputs!$C$8,Inputs!$C$9,$B$41)-F42</f>
        <v/>
      </c>
      <c r="G43" s="12">
        <f>-PMT(Inputs!$C$8,Inputs!$C$9,$B$41)-G42</f>
        <v/>
      </c>
      <c r="H43" s="12">
        <f>-PMT(Inputs!$C$8,Inputs!$C$9,$B$41)-H42</f>
        <v/>
      </c>
      <c r="I43" s="12">
        <f>-PMT(Inputs!$C$8,Inputs!$C$9,$B$41)-I42</f>
        <v/>
      </c>
      <c r="J43" s="12">
        <f>-PMT(Inputs!$C$8,Inputs!$C$9,$B$41)-J42</f>
        <v/>
      </c>
      <c r="K43" s="12">
        <f>-PMT(Inputs!$C$8,Inputs!$C$9,$B$41)-K42</f>
        <v/>
      </c>
      <c r="L43" s="12">
        <f>-PMT(Inputs!$C$8,Inputs!$C$9,$B$41)-L42</f>
        <v/>
      </c>
      <c r="M43" s="12">
        <f>-PMT(Inputs!$C$8,Inputs!$C$9,$B$41)-M42</f>
        <v/>
      </c>
      <c r="N43" s="12">
        <f>-PMT(Inputs!$C$8,Inputs!$C$9,$B$41)-N42</f>
        <v/>
      </c>
      <c r="O43" s="12">
        <f>-PMT(Inputs!$C$8,Inputs!$C$9,$B$41)-O42</f>
        <v/>
      </c>
      <c r="P43" s="12">
        <f>-PMT(Inputs!$C$8,Inputs!$C$9,$B$41)-P42</f>
        <v/>
      </c>
      <c r="Q43" s="12">
        <f>-PMT(Inputs!$C$8,Inputs!$C$9,$B$41)-Q42</f>
        <v/>
      </c>
      <c r="R43" s="12">
        <f>-PMT(Inputs!$C$8,Inputs!$C$9,$B$41)-R42</f>
        <v/>
      </c>
      <c r="S43" s="12">
        <f>-PMT(Inputs!$C$8,Inputs!$C$9,$B$41)-S42</f>
        <v/>
      </c>
      <c r="T43" s="12">
        <f>-PMT(Inputs!$C$8,Inputs!$C$9,$B$41)-T42</f>
        <v/>
      </c>
      <c r="U43" s="12">
        <f>-PMT(Inputs!$C$8,Inputs!$C$9,$B$41)-U42</f>
        <v/>
      </c>
      <c r="V43" s="12">
        <f>-PMT(Inputs!$C$8,Inputs!$C$9,$B$41)-V42</f>
        <v/>
      </c>
      <c r="W43" s="12">
        <f>-PMT(Inputs!$C$8,Inputs!$C$9,$B$41)-W42</f>
        <v/>
      </c>
      <c r="X43" s="12">
        <f>-PMT(Inputs!$C$8,Inputs!$C$9,$B$41)-X42</f>
        <v/>
      </c>
      <c r="Y43" s="12">
        <f>-PMT(Inputs!$C$8,Inputs!$C$9,$B$41)-Y42</f>
        <v/>
      </c>
      <c r="Z43" s="12">
        <f>-PMT(Inputs!$C$8,Inputs!$C$9,$B$41)-Z42</f>
        <v/>
      </c>
      <c r="AA43" s="12">
        <f>-PMT(Inputs!$C$8,Inputs!$C$9,$B$41)-AA42</f>
        <v/>
      </c>
    </row>
    <row r="44">
      <c r="A44" s="5" t="inlineStr">
        <is>
          <t>Total P&amp;I Payment ($)</t>
        </is>
      </c>
      <c r="B44" s="12" t="n">
        <v>0</v>
      </c>
      <c r="C44" s="12">
        <f>C42+C43</f>
        <v/>
      </c>
      <c r="D44" s="12">
        <f>D42+D43</f>
        <v/>
      </c>
      <c r="E44" s="12">
        <f>E42+E43</f>
        <v/>
      </c>
      <c r="F44" s="12">
        <f>F42+F43</f>
        <v/>
      </c>
      <c r="G44" s="12">
        <f>G42+G43</f>
        <v/>
      </c>
      <c r="H44" s="12">
        <f>H42+H43</f>
        <v/>
      </c>
      <c r="I44" s="12">
        <f>I42+I43</f>
        <v/>
      </c>
      <c r="J44" s="12">
        <f>J42+J43</f>
        <v/>
      </c>
      <c r="K44" s="12">
        <f>K42+K43</f>
        <v/>
      </c>
      <c r="L44" s="12">
        <f>L42+L43</f>
        <v/>
      </c>
      <c r="M44" s="12">
        <f>M42+M43</f>
        <v/>
      </c>
      <c r="N44" s="12">
        <f>N42+N43</f>
        <v/>
      </c>
      <c r="O44" s="12">
        <f>O42+O43</f>
        <v/>
      </c>
      <c r="P44" s="12">
        <f>P42+P43</f>
        <v/>
      </c>
      <c r="Q44" s="12">
        <f>Q42+Q43</f>
        <v/>
      </c>
      <c r="R44" s="12">
        <f>R42+R43</f>
        <v/>
      </c>
      <c r="S44" s="12">
        <f>S42+S43</f>
        <v/>
      </c>
      <c r="T44" s="12">
        <f>T42+T43</f>
        <v/>
      </c>
      <c r="U44" s="12">
        <f>U42+U43</f>
        <v/>
      </c>
      <c r="V44" s="12">
        <f>V42+V43</f>
        <v/>
      </c>
      <c r="W44" s="12">
        <f>W42+W43</f>
        <v/>
      </c>
      <c r="X44" s="12">
        <f>X42+X43</f>
        <v/>
      </c>
      <c r="Y44" s="12">
        <f>Y42+Y43</f>
        <v/>
      </c>
      <c r="Z44" s="12">
        <f>Z42+Z43</f>
        <v/>
      </c>
      <c r="AA44" s="12">
        <f>AA42+AA43</f>
        <v/>
      </c>
    </row>
    <row r="45">
      <c r="A45" s="5" t="inlineStr">
        <is>
          <t>Bill w/o System ($)</t>
        </is>
      </c>
      <c r="B45" s="12" t="n">
        <v>0</v>
      </c>
      <c r="C45" s="11" t="n">
        <v>2786.95</v>
      </c>
      <c r="D45" s="12">
        <f>C45*(1+Inputs!$C$11)</f>
        <v/>
      </c>
      <c r="E45" s="12">
        <f>D45*(1+Inputs!$C$11)</f>
        <v/>
      </c>
      <c r="F45" s="12">
        <f>E45*(1+Inputs!$C$11)</f>
        <v/>
      </c>
      <c r="G45" s="12">
        <f>F45*(1+Inputs!$C$11)</f>
        <v/>
      </c>
      <c r="H45" s="12">
        <f>G45*(1+Inputs!$C$11)</f>
        <v/>
      </c>
      <c r="I45" s="12">
        <f>H45*(1+Inputs!$C$11)</f>
        <v/>
      </c>
      <c r="J45" s="12">
        <f>I45*(1+Inputs!$C$11)</f>
        <v/>
      </c>
      <c r="K45" s="12">
        <f>J45*(1+Inputs!$C$11)</f>
        <v/>
      </c>
      <c r="L45" s="12">
        <f>K45*(1+Inputs!$C$11)</f>
        <v/>
      </c>
      <c r="M45" s="12">
        <f>L45*(1+Inputs!$C$11)</f>
        <v/>
      </c>
      <c r="N45" s="12">
        <f>M45*(1+Inputs!$C$11)</f>
        <v/>
      </c>
      <c r="O45" s="12">
        <f>N45*(1+Inputs!$C$11)</f>
        <v/>
      </c>
      <c r="P45" s="12">
        <f>O45*(1+Inputs!$C$11)</f>
        <v/>
      </c>
      <c r="Q45" s="12">
        <f>P45*(1+Inputs!$C$11)</f>
        <v/>
      </c>
      <c r="R45" s="12">
        <f>Q45*(1+Inputs!$C$11)</f>
        <v/>
      </c>
      <c r="S45" s="12">
        <f>R45*(1+Inputs!$C$11)</f>
        <v/>
      </c>
      <c r="T45" s="12">
        <f>S45*(1+Inputs!$C$11)</f>
        <v/>
      </c>
      <c r="U45" s="12">
        <f>T45*(1+Inputs!$C$11)</f>
        <v/>
      </c>
      <c r="V45" s="12">
        <f>U45*(1+Inputs!$C$11)</f>
        <v/>
      </c>
      <c r="W45" s="12">
        <f>V45*(1+Inputs!$C$11)</f>
        <v/>
      </c>
      <c r="X45" s="12">
        <f>W45*(1+Inputs!$C$11)</f>
        <v/>
      </c>
      <c r="Y45" s="12">
        <f>X45*(1+Inputs!$C$11)</f>
        <v/>
      </c>
      <c r="Z45" s="12">
        <f>Y45*(1+Inputs!$C$11)</f>
        <v/>
      </c>
      <c r="AA45" s="12">
        <f>Z45*(1+Inputs!$C$11)</f>
        <v/>
      </c>
    </row>
    <row r="46">
      <c r="A46" s="5" t="inlineStr">
        <is>
          <t>Bill w/ System ($)</t>
        </is>
      </c>
      <c r="B46" s="12" t="n">
        <v>0</v>
      </c>
      <c r="C46" s="11" t="n">
        <v>1698.93</v>
      </c>
      <c r="D46" s="12">
        <f>D45-1088.02*(1+Inputs!$C$11)^(2-1)</f>
        <v/>
      </c>
      <c r="E46" s="12">
        <f>E45-1088.02*(1+Inputs!$C$11)^(3-1)</f>
        <v/>
      </c>
      <c r="F46" s="12">
        <f>F45-1088.02*(1+Inputs!$C$11)^(4-1)</f>
        <v/>
      </c>
      <c r="G46" s="12">
        <f>G45-1088.02*(1+Inputs!$C$11)^(5-1)</f>
        <v/>
      </c>
      <c r="H46" s="12">
        <f>H45-1088.02*(1+Inputs!$C$11)^(6-1)</f>
        <v/>
      </c>
      <c r="I46" s="12">
        <f>I45-1088.02*(1+Inputs!$C$11)^(7-1)</f>
        <v/>
      </c>
      <c r="J46" s="12">
        <f>J45-1088.02*(1+Inputs!$C$11)^(8-1)</f>
        <v/>
      </c>
      <c r="K46" s="12">
        <f>K45-1088.02*(1+Inputs!$C$11)^(9-1)</f>
        <v/>
      </c>
      <c r="L46" s="12">
        <f>L45-1088.02*(1+Inputs!$C$11)^(10-1)</f>
        <v/>
      </c>
      <c r="M46" s="12">
        <f>M45-1088.02*(1+Inputs!$C$11)^(11-1)</f>
        <v/>
      </c>
      <c r="N46" s="12">
        <f>N45-1088.02*(1+Inputs!$C$11)^(12-1)</f>
        <v/>
      </c>
      <c r="O46" s="12">
        <f>O45-1088.02*(1+Inputs!$C$11)^(13-1)</f>
        <v/>
      </c>
      <c r="P46" s="12">
        <f>P45-1088.02*(1+Inputs!$C$11)^(14-1)</f>
        <v/>
      </c>
      <c r="Q46" s="12">
        <f>Q45-1088.02*(1+Inputs!$C$11)^(15-1)</f>
        <v/>
      </c>
      <c r="R46" s="12">
        <f>R45-1088.02*(1+Inputs!$C$11)^(16-1)</f>
        <v/>
      </c>
      <c r="S46" s="12">
        <f>S45-1088.02*(1+Inputs!$C$11)^(17-1)</f>
        <v/>
      </c>
      <c r="T46" s="12">
        <f>T45-1088.02*(1+Inputs!$C$11)^(18-1)</f>
        <v/>
      </c>
      <c r="U46" s="12">
        <f>U45-1088.02*(1+Inputs!$C$11)^(19-1)</f>
        <v/>
      </c>
      <c r="V46" s="12">
        <f>V45-1088.02*(1+Inputs!$C$11)^(20-1)</f>
        <v/>
      </c>
      <c r="W46" s="12">
        <f>W45-1088.02*(1+Inputs!$C$11)^(21-1)</f>
        <v/>
      </c>
      <c r="X46" s="12">
        <f>X45-1088.02*(1+Inputs!$C$11)^(22-1)</f>
        <v/>
      </c>
      <c r="Y46" s="12">
        <f>Y45-1088.02*(1+Inputs!$C$11)^(23-1)</f>
        <v/>
      </c>
      <c r="Z46" s="12">
        <f>Z45-1088.02*(1+Inputs!$C$11)^(24-1)</f>
        <v/>
      </c>
      <c r="AA46" s="12">
        <f>AA45-1088.02*(1+Inputs!$C$11)^(25-1)</f>
        <v/>
      </c>
    </row>
    <row r="47">
      <c r="A47" s="5" t="inlineStr">
        <is>
          <t>Bill Savings ($)</t>
        </is>
      </c>
      <c r="B47" s="12" t="n">
        <v>0</v>
      </c>
      <c r="C47" s="12">
        <f>C45-C46</f>
        <v/>
      </c>
      <c r="D47" s="12">
        <f>D45-D46</f>
        <v/>
      </c>
      <c r="E47" s="12">
        <f>E45-E46</f>
        <v/>
      </c>
      <c r="F47" s="12">
        <f>F45-F46</f>
        <v/>
      </c>
      <c r="G47" s="12">
        <f>G45-G46</f>
        <v/>
      </c>
      <c r="H47" s="12">
        <f>H45-H46</f>
        <v/>
      </c>
      <c r="I47" s="12">
        <f>I45-I46</f>
        <v/>
      </c>
      <c r="J47" s="12">
        <f>J45-J46</f>
        <v/>
      </c>
      <c r="K47" s="12">
        <f>K45-K46</f>
        <v/>
      </c>
      <c r="L47" s="12">
        <f>L45-L46</f>
        <v/>
      </c>
      <c r="M47" s="12">
        <f>M45-M46</f>
        <v/>
      </c>
      <c r="N47" s="12">
        <f>N45-N46</f>
        <v/>
      </c>
      <c r="O47" s="12">
        <f>O45-O46</f>
        <v/>
      </c>
      <c r="P47" s="12">
        <f>P45-P46</f>
        <v/>
      </c>
      <c r="Q47" s="12">
        <f>Q45-Q46</f>
        <v/>
      </c>
      <c r="R47" s="12">
        <f>R45-R46</f>
        <v/>
      </c>
      <c r="S47" s="12">
        <f>S45-S46</f>
        <v/>
      </c>
      <c r="T47" s="12">
        <f>T45-T46</f>
        <v/>
      </c>
      <c r="U47" s="12">
        <f>U45-U46</f>
        <v/>
      </c>
      <c r="V47" s="12">
        <f>V45-V46</f>
        <v/>
      </c>
      <c r="W47" s="12">
        <f>W45-W46</f>
        <v/>
      </c>
      <c r="X47" s="12">
        <f>X45-X46</f>
        <v/>
      </c>
      <c r="Y47" s="12">
        <f>Y45-Y46</f>
        <v/>
      </c>
      <c r="Z47" s="12">
        <f>Z45-Z46</f>
        <v/>
      </c>
      <c r="AA47" s="12">
        <f>AA45-AA46</f>
        <v/>
      </c>
    </row>
    <row r="48">
      <c r="A48" s="5" t="inlineStr">
        <is>
          <t>VPP Revenue ($)</t>
        </is>
      </c>
      <c r="B48" s="12" t="n">
        <v>0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s="11" t="n">
        <v>0</v>
      </c>
      <c r="Y48" s="11" t="n">
        <v>0</v>
      </c>
      <c r="Z48" s="11" t="n">
        <v>0</v>
      </c>
      <c r="AA48" s="11" t="n">
        <v>0</v>
      </c>
    </row>
    <row r="49">
      <c r="A49" s="5" t="inlineStr">
        <is>
          <t>Total Savings ($)</t>
        </is>
      </c>
      <c r="B49" s="12" t="n">
        <v>0</v>
      </c>
      <c r="C49" s="12">
        <f>C47+C48</f>
        <v/>
      </c>
      <c r="D49" s="12">
        <f>D47+D48</f>
        <v/>
      </c>
      <c r="E49" s="12">
        <f>E47+E48</f>
        <v/>
      </c>
      <c r="F49" s="12">
        <f>F47+F48</f>
        <v/>
      </c>
      <c r="G49" s="12">
        <f>G47+G48</f>
        <v/>
      </c>
      <c r="H49" s="12">
        <f>H47+H48</f>
        <v/>
      </c>
      <c r="I49" s="12">
        <f>I47+I48</f>
        <v/>
      </c>
      <c r="J49" s="12">
        <f>J47+J48</f>
        <v/>
      </c>
      <c r="K49" s="12">
        <f>K47+K48</f>
        <v/>
      </c>
      <c r="L49" s="12">
        <f>L47+L48</f>
        <v/>
      </c>
      <c r="M49" s="12">
        <f>M47+M48</f>
        <v/>
      </c>
      <c r="N49" s="12">
        <f>N47+N48</f>
        <v/>
      </c>
      <c r="O49" s="12">
        <f>O47+O48</f>
        <v/>
      </c>
      <c r="P49" s="12">
        <f>P47+P48</f>
        <v/>
      </c>
      <c r="Q49" s="12">
        <f>Q47+Q48</f>
        <v/>
      </c>
      <c r="R49" s="12">
        <f>R47+R48</f>
        <v/>
      </c>
      <c r="S49" s="12">
        <f>S47+S48</f>
        <v/>
      </c>
      <c r="T49" s="12">
        <f>T47+T48</f>
        <v/>
      </c>
      <c r="U49" s="12">
        <f>U47+U48</f>
        <v/>
      </c>
      <c r="V49" s="12">
        <f>V47+V48</f>
        <v/>
      </c>
      <c r="W49" s="12">
        <f>W47+W48</f>
        <v/>
      </c>
      <c r="X49" s="12">
        <f>X47+X48</f>
        <v/>
      </c>
      <c r="Y49" s="12">
        <f>Y47+Y48</f>
        <v/>
      </c>
      <c r="Z49" s="12">
        <f>Z47+Z48</f>
        <v/>
      </c>
      <c r="AA49" s="12">
        <f>AA47+AA48</f>
        <v/>
      </c>
    </row>
    <row r="50">
      <c r="A50" s="5" t="inlineStr">
        <is>
          <t>Net Savings ($)</t>
        </is>
      </c>
      <c r="B50" s="12" t="n">
        <v>0</v>
      </c>
      <c r="C50" s="12">
        <f>C49-C44</f>
        <v/>
      </c>
      <c r="D50" s="12">
        <f>D49-D44</f>
        <v/>
      </c>
      <c r="E50" s="12">
        <f>E49-E44</f>
        <v/>
      </c>
      <c r="F50" s="12">
        <f>F49-F44</f>
        <v/>
      </c>
      <c r="G50" s="12">
        <f>G49-G44</f>
        <v/>
      </c>
      <c r="H50" s="12">
        <f>H49-H44</f>
        <v/>
      </c>
      <c r="I50" s="12">
        <f>I49-I44</f>
        <v/>
      </c>
      <c r="J50" s="12">
        <f>J49-J44</f>
        <v/>
      </c>
      <c r="K50" s="12">
        <f>K49-K44</f>
        <v/>
      </c>
      <c r="L50" s="12">
        <f>L49-L44</f>
        <v/>
      </c>
      <c r="M50" s="12">
        <f>M49-M44</f>
        <v/>
      </c>
      <c r="N50" s="12">
        <f>N49-N44</f>
        <v/>
      </c>
      <c r="O50" s="12">
        <f>O49-O44</f>
        <v/>
      </c>
      <c r="P50" s="12">
        <f>P49-P44</f>
        <v/>
      </c>
      <c r="Q50" s="12">
        <f>Q49-Q44</f>
        <v/>
      </c>
      <c r="R50" s="12">
        <f>R49-R44</f>
        <v/>
      </c>
      <c r="S50" s="12">
        <f>S49-S44</f>
        <v/>
      </c>
      <c r="T50" s="12">
        <f>T49-T44</f>
        <v/>
      </c>
      <c r="U50" s="12">
        <f>U49-U44</f>
        <v/>
      </c>
      <c r="V50" s="12">
        <f>V49-V44</f>
        <v/>
      </c>
      <c r="W50" s="12">
        <f>W49-W44</f>
        <v/>
      </c>
      <c r="X50" s="12">
        <f>X49-X44</f>
        <v/>
      </c>
      <c r="Y50" s="12">
        <f>Y49-Y44</f>
        <v/>
      </c>
      <c r="Z50" s="12">
        <f>Z49-Z44</f>
        <v/>
      </c>
      <c r="AA50" s="12">
        <f>AA49-AA44</f>
        <v/>
      </c>
    </row>
    <row r="51">
      <c r="A51" s="5" t="inlineStr">
        <is>
          <t>Cumulative NPV ($)</t>
        </is>
      </c>
      <c r="B51" s="12" t="n">
        <v>0</v>
      </c>
      <c r="C51" s="12">
        <f>C50/(1+Inputs!$C$10)^1</f>
        <v/>
      </c>
      <c r="D51" s="12">
        <f>C51+D50/(1+Inputs!$C$10)^2</f>
        <v/>
      </c>
      <c r="E51" s="12">
        <f>D51+E50/(1+Inputs!$C$10)^3</f>
        <v/>
      </c>
      <c r="F51" s="12">
        <f>E51+F50/(1+Inputs!$C$10)^4</f>
        <v/>
      </c>
      <c r="G51" s="12">
        <f>F51+G50/(1+Inputs!$C$10)^5</f>
        <v/>
      </c>
      <c r="H51" s="12">
        <f>G51+H50/(1+Inputs!$C$10)^6</f>
        <v/>
      </c>
      <c r="I51" s="12">
        <f>H51+I50/(1+Inputs!$C$10)^7</f>
        <v/>
      </c>
      <c r="J51" s="12">
        <f>I51+J50/(1+Inputs!$C$10)^8</f>
        <v/>
      </c>
      <c r="K51" s="12">
        <f>J51+K50/(1+Inputs!$C$10)^9</f>
        <v/>
      </c>
      <c r="L51" s="12">
        <f>K51+L50/(1+Inputs!$C$10)^10</f>
        <v/>
      </c>
      <c r="M51" s="12">
        <f>L51+M50/(1+Inputs!$C$10)^11</f>
        <v/>
      </c>
      <c r="N51" s="12">
        <f>M51+N50/(1+Inputs!$C$10)^12</f>
        <v/>
      </c>
      <c r="O51" s="12">
        <f>N51+O50/(1+Inputs!$C$10)^13</f>
        <v/>
      </c>
      <c r="P51" s="12">
        <f>O51+P50/(1+Inputs!$C$10)^14</f>
        <v/>
      </c>
      <c r="Q51" s="12">
        <f>P51+Q50/(1+Inputs!$C$10)^15</f>
        <v/>
      </c>
      <c r="R51" s="12">
        <f>Q51+R50/(1+Inputs!$C$10)^16</f>
        <v/>
      </c>
      <c r="S51" s="12">
        <f>R51+S50/(1+Inputs!$C$10)^17</f>
        <v/>
      </c>
      <c r="T51" s="12">
        <f>S51+T50/(1+Inputs!$C$10)^18</f>
        <v/>
      </c>
      <c r="U51" s="12">
        <f>T51+U50/(1+Inputs!$C$10)^19</f>
        <v/>
      </c>
      <c r="V51" s="12">
        <f>U51+V50/(1+Inputs!$C$10)^20</f>
        <v/>
      </c>
      <c r="W51" s="12">
        <f>V51+W50/(1+Inputs!$C$10)^21</f>
        <v/>
      </c>
      <c r="X51" s="12">
        <f>W51+X50/(1+Inputs!$C$10)^22</f>
        <v/>
      </c>
      <c r="Y51" s="12">
        <f>X51+Y50/(1+Inputs!$C$10)^23</f>
        <v/>
      </c>
      <c r="Z51" s="12">
        <f>Y51+Z50/(1+Inputs!$C$10)^24</f>
        <v/>
      </c>
      <c r="AA51" s="12">
        <f>Z51+AA50/(1+Inputs!$C$10)^25</f>
        <v/>
      </c>
    </row>
    <row r="52">
      <c r="A52" s="5" t="inlineStr">
        <is>
          <t>Simple Payback (yr)</t>
        </is>
      </c>
      <c r="B52" s="13" t="inlineStr">
        <is>
          <t>Simple Payback: 15.1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2026-03-24T15:08:06Z</dcterms:created>
  <dcterms:modified xmlns:dcterms="http://purl.org/dc/terms/" xmlns:xsi="http://www.w3.org/2001/XMLSchema-instance" xsi:type="dcterms:W3CDTF">2026-03-24T15:08:06Z</dcterms:modified>
</cp:coreProperties>
</file>