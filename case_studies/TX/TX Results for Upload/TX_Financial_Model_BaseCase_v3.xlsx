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Cash Flo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;($#,##0);&quot;-&quot;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0"/>
    </font>
    <font>
      <name val="Arial"/>
      <sz val="10"/>
    </font>
    <font>
      <name val="Arial"/>
      <color rgb="000000FF"/>
      <sz val="10"/>
    </font>
    <font>
      <name val="Arial"/>
      <color rgb="00666666"/>
      <sz val="9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0" fontId="4" fillId="0" borderId="0" pivotButton="0" quotePrefix="0" xfId="0"/>
    <xf numFmtId="164" fontId="4" fillId="0" borderId="0" pivotButton="0" quotePrefix="0" xfId="0"/>
    <xf numFmtId="0" fontId="6" fillId="2" borderId="0" pivotButton="0" quotePrefix="0" xfId="0"/>
    <xf numFmtId="0" fontId="0" fillId="2" borderId="0" pivotButton="0" quotePrefix="0" xfId="0"/>
    <xf numFmtId="165" fontId="4" fillId="0" borderId="0" pivotButton="0" quotePrefix="0" xfId="0"/>
    <xf numFmtId="165" fontId="3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E34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15" customWidth="1" min="3" max="3"/>
    <col width="8" customWidth="1" min="4" max="4"/>
    <col width="45" customWidth="1" min="5" max="5"/>
  </cols>
  <sheetData>
    <row r="1">
      <c r="B1" s="1" t="inlineStr">
        <is>
          <t>TX Base Case (Oncor + Chariot GreenVolt) — No Incentives</t>
        </is>
      </c>
    </row>
    <row r="3">
      <c r="B3" s="2" t="inlineStr">
        <is>
          <t>SYSTEM</t>
        </is>
      </c>
    </row>
    <row r="4">
      <c r="B4" s="3" t="inlineStr">
        <is>
          <t>PV Capacity</t>
        </is>
      </c>
      <c r="C4" s="4" t="n">
        <v>5.95</v>
      </c>
      <c r="D4" s="5" t="inlineStr">
        <is>
          <t>kW</t>
        </is>
      </c>
    </row>
    <row r="5">
      <c r="B5" s="3" t="inlineStr">
        <is>
          <t>Battery</t>
        </is>
      </c>
      <c r="C5" s="4" t="n">
        <v>13.5</v>
      </c>
      <c r="D5" s="5" t="inlineStr">
        <is>
          <t>kWh</t>
        </is>
      </c>
    </row>
    <row r="6">
      <c r="B6" s="3" t="inlineStr">
        <is>
          <t>Solar Cost</t>
        </is>
      </c>
      <c r="C6" s="4" t="n">
        <v>16482</v>
      </c>
      <c r="E6" s="5" t="inlineStr">
        <is>
          <t>$2,770/kW × 5.95, Tao Sun TX Supp Table 15</t>
        </is>
      </c>
    </row>
    <row r="7">
      <c r="B7" s="3" t="inlineStr">
        <is>
          <t>PV+S Cost</t>
        </is>
      </c>
      <c r="C7" s="4" t="n">
        <v>31359</v>
      </c>
      <c r="E7" s="5" t="inlineStr">
        <is>
          <t>Solar + $1,102/kWh × 13.5</t>
        </is>
      </c>
    </row>
    <row r="8">
      <c r="B8" s="3" t="inlineStr">
        <is>
          <t>Loan Rate</t>
        </is>
      </c>
      <c r="C8" s="6" t="n">
        <v>0.07240000000000001</v>
      </c>
    </row>
    <row r="9">
      <c r="B9" s="3" t="inlineStr">
        <is>
          <t>Loan Term</t>
        </is>
      </c>
      <c r="C9" s="4" t="n">
        <v>25</v>
      </c>
    </row>
    <row r="10">
      <c r="B10" s="3" t="inlineStr">
        <is>
          <t>Discount Rate</t>
        </is>
      </c>
      <c r="C10" s="7" t="n">
        <v>0.064</v>
      </c>
    </row>
    <row r="11">
      <c r="B11" s="3" t="inlineStr">
        <is>
          <t>Escalation</t>
        </is>
      </c>
      <c r="C11" s="7" t="n">
        <v>0.025</v>
      </c>
    </row>
    <row r="13">
      <c r="B13" s="2" t="inlineStr">
        <is>
          <t>RATE STRUCTURE</t>
        </is>
      </c>
    </row>
    <row r="14">
      <c r="B14" s="3" t="inlineStr">
        <is>
          <t>REP</t>
        </is>
      </c>
      <c r="C14" s="4" t="inlineStr">
        <is>
          <t>Chariot GreenVolt</t>
        </is>
      </c>
    </row>
    <row r="15">
      <c r="B15" s="3" t="inlineStr">
        <is>
          <t>TDU</t>
        </is>
      </c>
      <c r="C15" s="4" t="inlineStr">
        <is>
          <t>Oncor</t>
        </is>
      </c>
    </row>
    <row r="16">
      <c r="B16" s="3" t="inlineStr">
        <is>
          <t>Energy Charge</t>
        </is>
      </c>
      <c r="C16" s="4" t="n">
        <v>0.102</v>
      </c>
      <c r="E16" s="5" t="inlineStr">
        <is>
          <t>Chariot GreenVolt, meterplan.com</t>
        </is>
      </c>
    </row>
    <row r="17">
      <c r="B17" s="3" t="inlineStr">
        <is>
          <t>TDU Delivery</t>
        </is>
      </c>
      <c r="C17" s="4" t="n">
        <v>0.0562</v>
      </c>
      <c r="E17" s="5" t="inlineStr">
        <is>
          <t>Oncor, electricityplans.com</t>
        </is>
      </c>
    </row>
    <row r="18">
      <c r="B18" s="3" t="inlineStr">
        <is>
          <t>Total Buy Rate</t>
        </is>
      </c>
      <c r="C18" s="4" t="n">
        <v>0.1582</v>
      </c>
    </row>
    <row r="19">
      <c r="B19" s="3" t="inlineStr">
        <is>
          <t>Buyback Rate</t>
        </is>
      </c>
      <c r="C19" s="4" t="n">
        <v>0.07000000000000001</v>
      </c>
      <c r="E19" s="5" t="inlineStr">
        <is>
          <t>Chariot GreenVolt 7¢ fixed, meterplan.com</t>
        </is>
      </c>
    </row>
    <row r="20">
      <c r="B20" s="3" t="inlineStr">
        <is>
          <t>TDU Fixed</t>
        </is>
      </c>
      <c r="C20" s="4" t="n">
        <v>4.23</v>
      </c>
      <c r="E20" s="5" t="inlineStr">
        <is>
          <t>Oncor, electricityplans.com</t>
        </is>
      </c>
    </row>
    <row r="21">
      <c r="B21" s="3" t="inlineStr">
        <is>
          <t>REP Base Fee</t>
        </is>
      </c>
      <c r="C21" s="4" t="n">
        <v>29.95</v>
      </c>
      <c r="E21" s="5" t="inlineStr">
        <is>
          <t>Chariot GreenVolt, meterplan.com</t>
        </is>
      </c>
    </row>
    <row r="22">
      <c r="B22" s="3" t="inlineStr">
        <is>
          <t>Total Fixed Monthly</t>
        </is>
      </c>
      <c r="C22" s="4" t="n">
        <v>34.18</v>
      </c>
    </row>
    <row r="23">
      <c r="B23" s="3" t="inlineStr">
        <is>
          <t>Metering</t>
        </is>
      </c>
      <c r="C23" s="4" t="inlineStr">
        <is>
          <t>Net billing</t>
        </is>
      </c>
    </row>
    <row r="25">
      <c r="B25" s="2" t="inlineStr">
        <is>
          <t>INCENTIVES</t>
        </is>
      </c>
    </row>
    <row r="26">
      <c r="B26" s="3" t="inlineStr">
        <is>
          <t>Federal ITC</t>
        </is>
      </c>
      <c r="C26" s="4" t="n">
        <v>0</v>
      </c>
      <c r="E26" s="5" t="inlineStr">
        <is>
          <t>Expired Dec 2025</t>
        </is>
      </c>
    </row>
    <row r="27">
      <c r="B27" s="3" t="inlineStr">
        <is>
          <t>State Tax Credit</t>
        </is>
      </c>
      <c r="C27" s="4" t="n">
        <v>0</v>
      </c>
      <c r="E27" s="5" t="inlineStr">
        <is>
          <t>TX has no state solar tax credit</t>
        </is>
      </c>
    </row>
    <row r="28">
      <c r="B28" s="3" t="inlineStr">
        <is>
          <t>State Rebate</t>
        </is>
      </c>
      <c r="C28" s="4" t="n">
        <v>0</v>
      </c>
      <c r="E28" s="5" t="inlineStr">
        <is>
          <t>No statewide program</t>
        </is>
      </c>
    </row>
    <row r="29">
      <c r="B29" s="3" t="inlineStr">
        <is>
          <t>VPP Revenue</t>
        </is>
      </c>
      <c r="C29" s="4" t="n">
        <v>0</v>
      </c>
      <c r="E29" s="5" t="inlineStr">
        <is>
          <t>$0 in base case. VPP scenario: $320/yr (North Hub arbitrage)</t>
        </is>
      </c>
    </row>
    <row r="31">
      <c r="B31" s="2" t="inlineStr">
        <is>
          <t>PYSAM RESULTS</t>
        </is>
      </c>
    </row>
    <row r="32">
      <c r="B32" s="3" t="inlineStr">
        <is>
          <t>Bill w/o System</t>
        </is>
      </c>
      <c r="C32" s="4" t="n">
        <v>2786.95</v>
      </c>
    </row>
    <row r="33">
      <c r="B33" s="3" t="inlineStr">
        <is>
          <t>Solar Savings Y1</t>
        </is>
      </c>
      <c r="C33" s="4" t="n">
        <v>1088.02</v>
      </c>
    </row>
    <row r="34">
      <c r="B34" s="3" t="inlineStr">
        <is>
          <t>PV+S Savings Y1</t>
        </is>
      </c>
      <c r="C34" s="4" t="n">
        <v>1098.8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5:AA35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</cols>
  <sheetData>
    <row r="5">
      <c r="A5" s="8" t="inlineStr">
        <is>
          <t>Solar Only — No Incentives</t>
        </is>
      </c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</row>
    <row r="6">
      <c r="A6" s="2" t="inlineStr">
        <is>
          <t>Year</t>
        </is>
      </c>
      <c r="B6" s="3" t="n">
        <v>0</v>
      </c>
      <c r="C6" s="3" t="n">
        <v>1</v>
      </c>
      <c r="D6" s="3" t="n">
        <v>2</v>
      </c>
      <c r="E6" s="3" t="n">
        <v>3</v>
      </c>
      <c r="F6" s="3" t="n">
        <v>4</v>
      </c>
      <c r="G6" s="3" t="n">
        <v>5</v>
      </c>
      <c r="H6" s="3" t="n">
        <v>6</v>
      </c>
      <c r="I6" s="3" t="n">
        <v>7</v>
      </c>
      <c r="J6" s="3" t="n">
        <v>8</v>
      </c>
      <c r="K6" s="3" t="n">
        <v>9</v>
      </c>
      <c r="L6" s="3" t="n">
        <v>10</v>
      </c>
      <c r="M6" s="3" t="n">
        <v>11</v>
      </c>
      <c r="N6" s="3" t="n">
        <v>12</v>
      </c>
      <c r="O6" s="3" t="n">
        <v>13</v>
      </c>
      <c r="P6" s="3" t="n">
        <v>14</v>
      </c>
      <c r="Q6" s="3" t="n">
        <v>15</v>
      </c>
      <c r="R6" s="3" t="n">
        <v>16</v>
      </c>
      <c r="S6" s="3" t="n">
        <v>17</v>
      </c>
      <c r="T6" s="3" t="n">
        <v>18</v>
      </c>
      <c r="U6" s="3" t="n">
        <v>19</v>
      </c>
      <c r="V6" s="3" t="n">
        <v>20</v>
      </c>
      <c r="W6" s="3" t="n">
        <v>21</v>
      </c>
      <c r="X6" s="3" t="n">
        <v>22</v>
      </c>
      <c r="Y6" s="3" t="n">
        <v>23</v>
      </c>
      <c r="Z6" s="3" t="n">
        <v>24</v>
      </c>
      <c r="AA6" s="3" t="n">
        <v>25</v>
      </c>
    </row>
    <row r="7">
      <c r="A7" s="3" t="inlineStr">
        <is>
          <t>Debt Balance ($)</t>
        </is>
      </c>
      <c r="B7" s="10" t="n">
        <v>16481.5</v>
      </c>
      <c r="C7" s="11">
        <f>B7-C9</f>
        <v/>
      </c>
      <c r="D7" s="11">
        <f>C7-D9</f>
        <v/>
      </c>
      <c r="E7" s="11">
        <f>D7-E9</f>
        <v/>
      </c>
      <c r="F7" s="11">
        <f>E7-F9</f>
        <v/>
      </c>
      <c r="G7" s="11">
        <f>F7-G9</f>
        <v/>
      </c>
      <c r="H7" s="11">
        <f>G7-H9</f>
        <v/>
      </c>
      <c r="I7" s="11">
        <f>H7-I9</f>
        <v/>
      </c>
      <c r="J7" s="11">
        <f>I7-J9</f>
        <v/>
      </c>
      <c r="K7" s="11">
        <f>J7-K9</f>
        <v/>
      </c>
      <c r="L7" s="11">
        <f>K7-L9</f>
        <v/>
      </c>
      <c r="M7" s="11">
        <f>L7-M9</f>
        <v/>
      </c>
      <c r="N7" s="11">
        <f>M7-N9</f>
        <v/>
      </c>
      <c r="O7" s="11">
        <f>N7-O9</f>
        <v/>
      </c>
      <c r="P7" s="11">
        <f>O7-P9</f>
        <v/>
      </c>
      <c r="Q7" s="11">
        <f>P7-Q9</f>
        <v/>
      </c>
      <c r="R7" s="11">
        <f>Q7-R9</f>
        <v/>
      </c>
      <c r="S7" s="11">
        <f>R7-S9</f>
        <v/>
      </c>
      <c r="T7" s="11">
        <f>S7-T9</f>
        <v/>
      </c>
      <c r="U7" s="11">
        <f>T7-U9</f>
        <v/>
      </c>
      <c r="V7" s="11">
        <f>U7-V9</f>
        <v/>
      </c>
      <c r="W7" s="11">
        <f>V7-W9</f>
        <v/>
      </c>
      <c r="X7" s="11">
        <f>W7-X9</f>
        <v/>
      </c>
      <c r="Y7" s="11">
        <f>X7-Y9</f>
        <v/>
      </c>
      <c r="Z7" s="11">
        <f>Y7-Z9</f>
        <v/>
      </c>
      <c r="AA7" s="11">
        <f>Z7-AA9</f>
        <v/>
      </c>
    </row>
    <row r="8">
      <c r="A8" s="3" t="inlineStr">
        <is>
          <t>Interest Payment ($)</t>
        </is>
      </c>
      <c r="B8" s="11" t="n">
        <v>0</v>
      </c>
      <c r="C8" s="11">
        <f>B7*Inputs!$C$8</f>
        <v/>
      </c>
      <c r="D8" s="11">
        <f>C7*Inputs!$C$8</f>
        <v/>
      </c>
      <c r="E8" s="11">
        <f>D7*Inputs!$C$8</f>
        <v/>
      </c>
      <c r="F8" s="11">
        <f>E7*Inputs!$C$8</f>
        <v/>
      </c>
      <c r="G8" s="11">
        <f>F7*Inputs!$C$8</f>
        <v/>
      </c>
      <c r="H8" s="11">
        <f>G7*Inputs!$C$8</f>
        <v/>
      </c>
      <c r="I8" s="11">
        <f>H7*Inputs!$C$8</f>
        <v/>
      </c>
      <c r="J8" s="11">
        <f>I7*Inputs!$C$8</f>
        <v/>
      </c>
      <c r="K8" s="11">
        <f>J7*Inputs!$C$8</f>
        <v/>
      </c>
      <c r="L8" s="11">
        <f>K7*Inputs!$C$8</f>
        <v/>
      </c>
      <c r="M8" s="11">
        <f>L7*Inputs!$C$8</f>
        <v/>
      </c>
      <c r="N8" s="11">
        <f>M7*Inputs!$C$8</f>
        <v/>
      </c>
      <c r="O8" s="11">
        <f>N7*Inputs!$C$8</f>
        <v/>
      </c>
      <c r="P8" s="11">
        <f>O7*Inputs!$C$8</f>
        <v/>
      </c>
      <c r="Q8" s="11">
        <f>P7*Inputs!$C$8</f>
        <v/>
      </c>
      <c r="R8" s="11">
        <f>Q7*Inputs!$C$8</f>
        <v/>
      </c>
      <c r="S8" s="11">
        <f>R7*Inputs!$C$8</f>
        <v/>
      </c>
      <c r="T8" s="11">
        <f>S7*Inputs!$C$8</f>
        <v/>
      </c>
      <c r="U8" s="11">
        <f>T7*Inputs!$C$8</f>
        <v/>
      </c>
      <c r="V8" s="11">
        <f>U7*Inputs!$C$8</f>
        <v/>
      </c>
      <c r="W8" s="11">
        <f>V7*Inputs!$C$8</f>
        <v/>
      </c>
      <c r="X8" s="11">
        <f>W7*Inputs!$C$8</f>
        <v/>
      </c>
      <c r="Y8" s="11">
        <f>X7*Inputs!$C$8</f>
        <v/>
      </c>
      <c r="Z8" s="11">
        <f>Y7*Inputs!$C$8</f>
        <v/>
      </c>
      <c r="AA8" s="11">
        <f>Z7*Inputs!$C$8</f>
        <v/>
      </c>
    </row>
    <row r="9">
      <c r="A9" s="3" t="inlineStr">
        <is>
          <t>Principal Payment ($)</t>
        </is>
      </c>
      <c r="B9" s="11" t="n">
        <v>0</v>
      </c>
      <c r="C9" s="11">
        <f>-PMT(Inputs!$C$8,Inputs!$C$9,$B$7)-C8</f>
        <v/>
      </c>
      <c r="D9" s="11">
        <f>-PMT(Inputs!$C$8,Inputs!$C$9,$B$7)-D8</f>
        <v/>
      </c>
      <c r="E9" s="11">
        <f>-PMT(Inputs!$C$8,Inputs!$C$9,$B$7)-E8</f>
        <v/>
      </c>
      <c r="F9" s="11">
        <f>-PMT(Inputs!$C$8,Inputs!$C$9,$B$7)-F8</f>
        <v/>
      </c>
      <c r="G9" s="11">
        <f>-PMT(Inputs!$C$8,Inputs!$C$9,$B$7)-G8</f>
        <v/>
      </c>
      <c r="H9" s="11">
        <f>-PMT(Inputs!$C$8,Inputs!$C$9,$B$7)-H8</f>
        <v/>
      </c>
      <c r="I9" s="11">
        <f>-PMT(Inputs!$C$8,Inputs!$C$9,$B$7)-I8</f>
        <v/>
      </c>
      <c r="J9" s="11">
        <f>-PMT(Inputs!$C$8,Inputs!$C$9,$B$7)-J8</f>
        <v/>
      </c>
      <c r="K9" s="11">
        <f>-PMT(Inputs!$C$8,Inputs!$C$9,$B$7)-K8</f>
        <v/>
      </c>
      <c r="L9" s="11">
        <f>-PMT(Inputs!$C$8,Inputs!$C$9,$B$7)-L8</f>
        <v/>
      </c>
      <c r="M9" s="11">
        <f>-PMT(Inputs!$C$8,Inputs!$C$9,$B$7)-M8</f>
        <v/>
      </c>
      <c r="N9" s="11">
        <f>-PMT(Inputs!$C$8,Inputs!$C$9,$B$7)-N8</f>
        <v/>
      </c>
      <c r="O9" s="11">
        <f>-PMT(Inputs!$C$8,Inputs!$C$9,$B$7)-O8</f>
        <v/>
      </c>
      <c r="P9" s="11">
        <f>-PMT(Inputs!$C$8,Inputs!$C$9,$B$7)-P8</f>
        <v/>
      </c>
      <c r="Q9" s="11">
        <f>-PMT(Inputs!$C$8,Inputs!$C$9,$B$7)-Q8</f>
        <v/>
      </c>
      <c r="R9" s="11">
        <f>-PMT(Inputs!$C$8,Inputs!$C$9,$B$7)-R8</f>
        <v/>
      </c>
      <c r="S9" s="11">
        <f>-PMT(Inputs!$C$8,Inputs!$C$9,$B$7)-S8</f>
        <v/>
      </c>
      <c r="T9" s="11">
        <f>-PMT(Inputs!$C$8,Inputs!$C$9,$B$7)-T8</f>
        <v/>
      </c>
      <c r="U9" s="11">
        <f>-PMT(Inputs!$C$8,Inputs!$C$9,$B$7)-U8</f>
        <v/>
      </c>
      <c r="V9" s="11">
        <f>-PMT(Inputs!$C$8,Inputs!$C$9,$B$7)-V8</f>
        <v/>
      </c>
      <c r="W9" s="11">
        <f>-PMT(Inputs!$C$8,Inputs!$C$9,$B$7)-W8</f>
        <v/>
      </c>
      <c r="X9" s="11">
        <f>-PMT(Inputs!$C$8,Inputs!$C$9,$B$7)-X8</f>
        <v/>
      </c>
      <c r="Y9" s="11">
        <f>-PMT(Inputs!$C$8,Inputs!$C$9,$B$7)-Y8</f>
        <v/>
      </c>
      <c r="Z9" s="11">
        <f>-PMT(Inputs!$C$8,Inputs!$C$9,$B$7)-Z8</f>
        <v/>
      </c>
      <c r="AA9" s="11">
        <f>-PMT(Inputs!$C$8,Inputs!$C$9,$B$7)-AA8</f>
        <v/>
      </c>
    </row>
    <row r="10">
      <c r="A10" s="3" t="inlineStr">
        <is>
          <t>Total P&amp;I Payment ($)</t>
        </is>
      </c>
      <c r="B10" s="11" t="n">
        <v>0</v>
      </c>
      <c r="C10" s="11">
        <f>C8+C9</f>
        <v/>
      </c>
      <c r="D10" s="11">
        <f>D8+D9</f>
        <v/>
      </c>
      <c r="E10" s="11">
        <f>E8+E9</f>
        <v/>
      </c>
      <c r="F10" s="11">
        <f>F8+F9</f>
        <v/>
      </c>
      <c r="G10" s="11">
        <f>G8+G9</f>
        <v/>
      </c>
      <c r="H10" s="11">
        <f>H8+H9</f>
        <v/>
      </c>
      <c r="I10" s="11">
        <f>I8+I9</f>
        <v/>
      </c>
      <c r="J10" s="11">
        <f>J8+J9</f>
        <v/>
      </c>
      <c r="K10" s="11">
        <f>K8+K9</f>
        <v/>
      </c>
      <c r="L10" s="11">
        <f>L8+L9</f>
        <v/>
      </c>
      <c r="M10" s="11">
        <f>M8+M9</f>
        <v/>
      </c>
      <c r="N10" s="11">
        <f>N8+N9</f>
        <v/>
      </c>
      <c r="O10" s="11">
        <f>O8+O9</f>
        <v/>
      </c>
      <c r="P10" s="11">
        <f>P8+P9</f>
        <v/>
      </c>
      <c r="Q10" s="11">
        <f>Q8+Q9</f>
        <v/>
      </c>
      <c r="R10" s="11">
        <f>R8+R9</f>
        <v/>
      </c>
      <c r="S10" s="11">
        <f>S8+S9</f>
        <v/>
      </c>
      <c r="T10" s="11">
        <f>T8+T9</f>
        <v/>
      </c>
      <c r="U10" s="11">
        <f>U8+U9</f>
        <v/>
      </c>
      <c r="V10" s="11">
        <f>V8+V9</f>
        <v/>
      </c>
      <c r="W10" s="11">
        <f>W8+W9</f>
        <v/>
      </c>
      <c r="X10" s="11">
        <f>X8+X9</f>
        <v/>
      </c>
      <c r="Y10" s="11">
        <f>Y8+Y9</f>
        <v/>
      </c>
      <c r="Z10" s="11">
        <f>Z8+Z9</f>
        <v/>
      </c>
      <c r="AA10" s="11">
        <f>AA8+AA9</f>
        <v/>
      </c>
    </row>
    <row r="11">
      <c r="A11" s="3" t="inlineStr">
        <is>
          <t>Bill w/o System ($)</t>
        </is>
      </c>
      <c r="B11" s="11" t="n">
        <v>0</v>
      </c>
      <c r="C11" s="10" t="n">
        <v>2786.95</v>
      </c>
      <c r="D11" s="11">
        <f>C11*(1+Inputs!$C$11)</f>
        <v/>
      </c>
      <c r="E11" s="11">
        <f>D11*(1+Inputs!$C$11)</f>
        <v/>
      </c>
      <c r="F11" s="11">
        <f>E11*(1+Inputs!$C$11)</f>
        <v/>
      </c>
      <c r="G11" s="11">
        <f>F11*(1+Inputs!$C$11)</f>
        <v/>
      </c>
      <c r="H11" s="11">
        <f>G11*(1+Inputs!$C$11)</f>
        <v/>
      </c>
      <c r="I11" s="11">
        <f>H11*(1+Inputs!$C$11)</f>
        <v/>
      </c>
      <c r="J11" s="11">
        <f>I11*(1+Inputs!$C$11)</f>
        <v/>
      </c>
      <c r="K11" s="11">
        <f>J11*(1+Inputs!$C$11)</f>
        <v/>
      </c>
      <c r="L11" s="11">
        <f>K11*(1+Inputs!$C$11)</f>
        <v/>
      </c>
      <c r="M11" s="11">
        <f>L11*(1+Inputs!$C$11)</f>
        <v/>
      </c>
      <c r="N11" s="11">
        <f>M11*(1+Inputs!$C$11)</f>
        <v/>
      </c>
      <c r="O11" s="11">
        <f>N11*(1+Inputs!$C$11)</f>
        <v/>
      </c>
      <c r="P11" s="11">
        <f>O11*(1+Inputs!$C$11)</f>
        <v/>
      </c>
      <c r="Q11" s="11">
        <f>P11*(1+Inputs!$C$11)</f>
        <v/>
      </c>
      <c r="R11" s="11">
        <f>Q11*(1+Inputs!$C$11)</f>
        <v/>
      </c>
      <c r="S11" s="11">
        <f>R11*(1+Inputs!$C$11)</f>
        <v/>
      </c>
      <c r="T11" s="11">
        <f>S11*(1+Inputs!$C$11)</f>
        <v/>
      </c>
      <c r="U11" s="11">
        <f>T11*(1+Inputs!$C$11)</f>
        <v/>
      </c>
      <c r="V11" s="11">
        <f>U11*(1+Inputs!$C$11)</f>
        <v/>
      </c>
      <c r="W11" s="11">
        <f>V11*(1+Inputs!$C$11)</f>
        <v/>
      </c>
      <c r="X11" s="11">
        <f>W11*(1+Inputs!$C$11)</f>
        <v/>
      </c>
      <c r="Y11" s="11">
        <f>X11*(1+Inputs!$C$11)</f>
        <v/>
      </c>
      <c r="Z11" s="11">
        <f>Y11*(1+Inputs!$C$11)</f>
        <v/>
      </c>
      <c r="AA11" s="11">
        <f>Z11*(1+Inputs!$C$11)</f>
        <v/>
      </c>
    </row>
    <row r="12">
      <c r="A12" s="3" t="inlineStr">
        <is>
          <t>Bill w/ System ($)</t>
        </is>
      </c>
      <c r="B12" s="11" t="n">
        <v>0</v>
      </c>
      <c r="C12" s="10" t="n">
        <v>1698.93</v>
      </c>
      <c r="D12" s="11">
        <f>D11-1088.02*(1+Inputs!$C$11)^(2-1)</f>
        <v/>
      </c>
      <c r="E12" s="11">
        <f>E11-1088.02*(1+Inputs!$C$11)^(3-1)</f>
        <v/>
      </c>
      <c r="F12" s="11">
        <f>F11-1088.02*(1+Inputs!$C$11)^(4-1)</f>
        <v/>
      </c>
      <c r="G12" s="11">
        <f>G11-1088.02*(1+Inputs!$C$11)^(5-1)</f>
        <v/>
      </c>
      <c r="H12" s="11">
        <f>H11-1088.02*(1+Inputs!$C$11)^(6-1)</f>
        <v/>
      </c>
      <c r="I12" s="11">
        <f>I11-1088.02*(1+Inputs!$C$11)^(7-1)</f>
        <v/>
      </c>
      <c r="J12" s="11">
        <f>J11-1088.02*(1+Inputs!$C$11)^(8-1)</f>
        <v/>
      </c>
      <c r="K12" s="11">
        <f>K11-1088.02*(1+Inputs!$C$11)^(9-1)</f>
        <v/>
      </c>
      <c r="L12" s="11">
        <f>L11-1088.02*(1+Inputs!$C$11)^(10-1)</f>
        <v/>
      </c>
      <c r="M12" s="11">
        <f>M11-1088.02*(1+Inputs!$C$11)^(11-1)</f>
        <v/>
      </c>
      <c r="N12" s="11">
        <f>N11-1088.02*(1+Inputs!$C$11)^(12-1)</f>
        <v/>
      </c>
      <c r="O12" s="11">
        <f>O11-1088.02*(1+Inputs!$C$11)^(13-1)</f>
        <v/>
      </c>
      <c r="P12" s="11">
        <f>P11-1088.02*(1+Inputs!$C$11)^(14-1)</f>
        <v/>
      </c>
      <c r="Q12" s="11">
        <f>Q11-1088.02*(1+Inputs!$C$11)^(15-1)</f>
        <v/>
      </c>
      <c r="R12" s="11">
        <f>R11-1088.02*(1+Inputs!$C$11)^(16-1)</f>
        <v/>
      </c>
      <c r="S12" s="11">
        <f>S11-1088.02*(1+Inputs!$C$11)^(17-1)</f>
        <v/>
      </c>
      <c r="T12" s="11">
        <f>T11-1088.02*(1+Inputs!$C$11)^(18-1)</f>
        <v/>
      </c>
      <c r="U12" s="11">
        <f>U11-1088.02*(1+Inputs!$C$11)^(19-1)</f>
        <v/>
      </c>
      <c r="V12" s="11">
        <f>V11-1088.02*(1+Inputs!$C$11)^(20-1)</f>
        <v/>
      </c>
      <c r="W12" s="11">
        <f>W11-1088.02*(1+Inputs!$C$11)^(21-1)</f>
        <v/>
      </c>
      <c r="X12" s="11">
        <f>X11-1088.02*(1+Inputs!$C$11)^(22-1)</f>
        <v/>
      </c>
      <c r="Y12" s="11">
        <f>Y11-1088.02*(1+Inputs!$C$11)^(23-1)</f>
        <v/>
      </c>
      <c r="Z12" s="11">
        <f>Z11-1088.02*(1+Inputs!$C$11)^(24-1)</f>
        <v/>
      </c>
      <c r="AA12" s="11">
        <f>AA11-1088.02*(1+Inputs!$C$11)^(25-1)</f>
        <v/>
      </c>
    </row>
    <row r="13">
      <c r="A13" s="3" t="inlineStr">
        <is>
          <t>Bill Savings ($)</t>
        </is>
      </c>
      <c r="B13" s="11" t="n">
        <v>0</v>
      </c>
      <c r="C13" s="11">
        <f>C11-C12</f>
        <v/>
      </c>
      <c r="D13" s="11">
        <f>D11-D12</f>
        <v/>
      </c>
      <c r="E13" s="11">
        <f>E11-E12</f>
        <v/>
      </c>
      <c r="F13" s="11">
        <f>F11-F12</f>
        <v/>
      </c>
      <c r="G13" s="11">
        <f>G11-G12</f>
        <v/>
      </c>
      <c r="H13" s="11">
        <f>H11-H12</f>
        <v/>
      </c>
      <c r="I13" s="11">
        <f>I11-I12</f>
        <v/>
      </c>
      <c r="J13" s="11">
        <f>J11-J12</f>
        <v/>
      </c>
      <c r="K13" s="11">
        <f>K11-K12</f>
        <v/>
      </c>
      <c r="L13" s="11">
        <f>L11-L12</f>
        <v/>
      </c>
      <c r="M13" s="11">
        <f>M11-M12</f>
        <v/>
      </c>
      <c r="N13" s="11">
        <f>N11-N12</f>
        <v/>
      </c>
      <c r="O13" s="11">
        <f>O11-O12</f>
        <v/>
      </c>
      <c r="P13" s="11">
        <f>P11-P12</f>
        <v/>
      </c>
      <c r="Q13" s="11">
        <f>Q11-Q12</f>
        <v/>
      </c>
      <c r="R13" s="11">
        <f>R11-R12</f>
        <v/>
      </c>
      <c r="S13" s="11">
        <f>S11-S12</f>
        <v/>
      </c>
      <c r="T13" s="11">
        <f>T11-T12</f>
        <v/>
      </c>
      <c r="U13" s="11">
        <f>U11-U12</f>
        <v/>
      </c>
      <c r="V13" s="11">
        <f>V11-V12</f>
        <v/>
      </c>
      <c r="W13" s="11">
        <f>W11-W12</f>
        <v/>
      </c>
      <c r="X13" s="11">
        <f>X11-X12</f>
        <v/>
      </c>
      <c r="Y13" s="11">
        <f>Y11-Y12</f>
        <v/>
      </c>
      <c r="Z13" s="11">
        <f>Z11-Z12</f>
        <v/>
      </c>
      <c r="AA13" s="11">
        <f>AA11-AA12</f>
        <v/>
      </c>
    </row>
    <row r="14">
      <c r="A14" s="3" t="inlineStr">
        <is>
          <t>Incentive Annual ($)</t>
        </is>
      </c>
      <c r="B14" s="11" t="n">
        <v>0</v>
      </c>
      <c r="C14" s="10" t="n">
        <v>0</v>
      </c>
      <c r="D14" s="10" t="n">
        <v>0</v>
      </c>
      <c r="E14" s="10" t="n">
        <v>0</v>
      </c>
      <c r="F14" s="10" t="n">
        <v>0</v>
      </c>
      <c r="G14" s="10" t="n">
        <v>0</v>
      </c>
      <c r="H14" s="10" t="n">
        <v>0</v>
      </c>
      <c r="I14" s="10" t="n">
        <v>0</v>
      </c>
      <c r="J14" s="10" t="n">
        <v>0</v>
      </c>
      <c r="K14" s="10" t="n">
        <v>0</v>
      </c>
      <c r="L14" s="10" t="n">
        <v>0</v>
      </c>
      <c r="M14" s="10" t="n">
        <v>0</v>
      </c>
      <c r="N14" s="10" t="n">
        <v>0</v>
      </c>
      <c r="O14" s="10" t="n">
        <v>0</v>
      </c>
      <c r="P14" s="10" t="n">
        <v>0</v>
      </c>
      <c r="Q14" s="10" t="n">
        <v>0</v>
      </c>
      <c r="R14" s="10" t="n">
        <v>0</v>
      </c>
      <c r="S14" s="10" t="n">
        <v>0</v>
      </c>
      <c r="T14" s="10" t="n">
        <v>0</v>
      </c>
      <c r="U14" s="10" t="n">
        <v>0</v>
      </c>
      <c r="V14" s="10" t="n">
        <v>0</v>
      </c>
      <c r="W14" s="10" t="n">
        <v>0</v>
      </c>
      <c r="X14" s="10" t="n">
        <v>0</v>
      </c>
      <c r="Y14" s="10" t="n">
        <v>0</v>
      </c>
      <c r="Z14" s="10" t="n">
        <v>0</v>
      </c>
      <c r="AA14" s="10" t="n">
        <v>0</v>
      </c>
    </row>
    <row r="15">
      <c r="A15" s="3" t="inlineStr">
        <is>
          <t>Total Savings ($)</t>
        </is>
      </c>
      <c r="B15" s="11" t="n">
        <v>0</v>
      </c>
      <c r="C15" s="11">
        <f>C13+C14</f>
        <v/>
      </c>
      <c r="D15" s="11">
        <f>D13+D14</f>
        <v/>
      </c>
      <c r="E15" s="11">
        <f>E13+E14</f>
        <v/>
      </c>
      <c r="F15" s="11">
        <f>F13+F14</f>
        <v/>
      </c>
      <c r="G15" s="11">
        <f>G13+G14</f>
        <v/>
      </c>
      <c r="H15" s="11">
        <f>H13+H14</f>
        <v/>
      </c>
      <c r="I15" s="11">
        <f>I13+I14</f>
        <v/>
      </c>
      <c r="J15" s="11">
        <f>J13+J14</f>
        <v/>
      </c>
      <c r="K15" s="11">
        <f>K13+K14</f>
        <v/>
      </c>
      <c r="L15" s="11">
        <f>L13+L14</f>
        <v/>
      </c>
      <c r="M15" s="11">
        <f>M13+M14</f>
        <v/>
      </c>
      <c r="N15" s="11">
        <f>N13+N14</f>
        <v/>
      </c>
      <c r="O15" s="11">
        <f>O13+O14</f>
        <v/>
      </c>
      <c r="P15" s="11">
        <f>P13+P14</f>
        <v/>
      </c>
      <c r="Q15" s="11">
        <f>Q13+Q14</f>
        <v/>
      </c>
      <c r="R15" s="11">
        <f>R13+R14</f>
        <v/>
      </c>
      <c r="S15" s="11">
        <f>S13+S14</f>
        <v/>
      </c>
      <c r="T15" s="11">
        <f>T13+T14</f>
        <v/>
      </c>
      <c r="U15" s="11">
        <f>U13+U14</f>
        <v/>
      </c>
      <c r="V15" s="11">
        <f>V13+V14</f>
        <v/>
      </c>
      <c r="W15" s="11">
        <f>W13+W14</f>
        <v/>
      </c>
      <c r="X15" s="11">
        <f>X13+X14</f>
        <v/>
      </c>
      <c r="Y15" s="11">
        <f>Y13+Y14</f>
        <v/>
      </c>
      <c r="Z15" s="11">
        <f>Z13+Z14</f>
        <v/>
      </c>
      <c r="AA15" s="11">
        <f>AA13+AA14</f>
        <v/>
      </c>
    </row>
    <row r="16">
      <c r="A16" s="3" t="inlineStr">
        <is>
          <t>Net Savings ($)</t>
        </is>
      </c>
      <c r="B16" s="11" t="n">
        <v>0</v>
      </c>
      <c r="C16" s="11">
        <f>C15-C10</f>
        <v/>
      </c>
      <c r="D16" s="11">
        <f>D15-D10</f>
        <v/>
      </c>
      <c r="E16" s="11">
        <f>E15-E10</f>
        <v/>
      </c>
      <c r="F16" s="11">
        <f>F15-F10</f>
        <v/>
      </c>
      <c r="G16" s="11">
        <f>G15-G10</f>
        <v/>
      </c>
      <c r="H16" s="11">
        <f>H15-H10</f>
        <v/>
      </c>
      <c r="I16" s="11">
        <f>I15-I10</f>
        <v/>
      </c>
      <c r="J16" s="11">
        <f>J15-J10</f>
        <v/>
      </c>
      <c r="K16" s="11">
        <f>K15-K10</f>
        <v/>
      </c>
      <c r="L16" s="11">
        <f>L15-L10</f>
        <v/>
      </c>
      <c r="M16" s="11">
        <f>M15-M10</f>
        <v/>
      </c>
      <c r="N16" s="11">
        <f>N15-N10</f>
        <v/>
      </c>
      <c r="O16" s="11">
        <f>O15-O10</f>
        <v/>
      </c>
      <c r="P16" s="11">
        <f>P15-P10</f>
        <v/>
      </c>
      <c r="Q16" s="11">
        <f>Q15-Q10</f>
        <v/>
      </c>
      <c r="R16" s="11">
        <f>R15-R10</f>
        <v/>
      </c>
      <c r="S16" s="11">
        <f>S15-S10</f>
        <v/>
      </c>
      <c r="T16" s="11">
        <f>T15-T10</f>
        <v/>
      </c>
      <c r="U16" s="11">
        <f>U15-U10</f>
        <v/>
      </c>
      <c r="V16" s="11">
        <f>V15-V10</f>
        <v/>
      </c>
      <c r="W16" s="11">
        <f>W15-W10</f>
        <v/>
      </c>
      <c r="X16" s="11">
        <f>X15-X10</f>
        <v/>
      </c>
      <c r="Y16" s="11">
        <f>Y15-Y10</f>
        <v/>
      </c>
      <c r="Z16" s="11">
        <f>Z15-Z10</f>
        <v/>
      </c>
      <c r="AA16" s="11">
        <f>AA15-AA10</f>
        <v/>
      </c>
    </row>
    <row r="17">
      <c r="A17" s="3" t="inlineStr">
        <is>
          <t>Cumulative NPV ($)</t>
        </is>
      </c>
      <c r="B17" s="11" t="n">
        <v>0</v>
      </c>
      <c r="C17" s="11">
        <f>C16/(1+Inputs!$C$10)^1</f>
        <v/>
      </c>
      <c r="D17" s="11">
        <f>C17+D16/(1+Inputs!$C$10)^2</f>
        <v/>
      </c>
      <c r="E17" s="11">
        <f>D17+E16/(1+Inputs!$C$10)^3</f>
        <v/>
      </c>
      <c r="F17" s="11">
        <f>E17+F16/(1+Inputs!$C$10)^4</f>
        <v/>
      </c>
      <c r="G17" s="11">
        <f>F17+G16/(1+Inputs!$C$10)^5</f>
        <v/>
      </c>
      <c r="H17" s="11">
        <f>G17+H16/(1+Inputs!$C$10)^6</f>
        <v/>
      </c>
      <c r="I17" s="11">
        <f>H17+I16/(1+Inputs!$C$10)^7</f>
        <v/>
      </c>
      <c r="J17" s="11">
        <f>I17+J16/(1+Inputs!$C$10)^8</f>
        <v/>
      </c>
      <c r="K17" s="11">
        <f>J17+K16/(1+Inputs!$C$10)^9</f>
        <v/>
      </c>
      <c r="L17" s="11">
        <f>K17+L16/(1+Inputs!$C$10)^10</f>
        <v/>
      </c>
      <c r="M17" s="11">
        <f>L17+M16/(1+Inputs!$C$10)^11</f>
        <v/>
      </c>
      <c r="N17" s="11">
        <f>M17+N16/(1+Inputs!$C$10)^12</f>
        <v/>
      </c>
      <c r="O17" s="11">
        <f>N17+O16/(1+Inputs!$C$10)^13</f>
        <v/>
      </c>
      <c r="P17" s="11">
        <f>O17+P16/(1+Inputs!$C$10)^14</f>
        <v/>
      </c>
      <c r="Q17" s="11">
        <f>P17+Q16/(1+Inputs!$C$10)^15</f>
        <v/>
      </c>
      <c r="R17" s="11">
        <f>Q17+R16/(1+Inputs!$C$10)^16</f>
        <v/>
      </c>
      <c r="S17" s="11">
        <f>R17+S16/(1+Inputs!$C$10)^17</f>
        <v/>
      </c>
      <c r="T17" s="11">
        <f>S17+T16/(1+Inputs!$C$10)^18</f>
        <v/>
      </c>
      <c r="U17" s="11">
        <f>T17+U16/(1+Inputs!$C$10)^19</f>
        <v/>
      </c>
      <c r="V17" s="11">
        <f>U17+V16/(1+Inputs!$C$10)^20</f>
        <v/>
      </c>
      <c r="W17" s="11">
        <f>V17+W16/(1+Inputs!$C$10)^21</f>
        <v/>
      </c>
      <c r="X17" s="11">
        <f>W17+X16/(1+Inputs!$C$10)^22</f>
        <v/>
      </c>
      <c r="Y17" s="11">
        <f>X17+Y16/(1+Inputs!$C$10)^23</f>
        <v/>
      </c>
      <c r="Z17" s="11">
        <f>Y17+Z16/(1+Inputs!$C$10)^24</f>
        <v/>
      </c>
      <c r="AA17" s="11">
        <f>Z17+AA16/(1+Inputs!$C$10)^25</f>
        <v/>
      </c>
    </row>
    <row r="18">
      <c r="A18" s="3" t="inlineStr">
        <is>
          <t>Simple Payback (yr)</t>
        </is>
      </c>
      <c r="B18" s="12" t="inlineStr">
        <is>
          <t>Simple Payback: 15.1 years</t>
        </is>
      </c>
    </row>
    <row r="22">
      <c r="A22" s="8" t="inlineStr">
        <is>
          <t>PV+Storage — No Incentives</t>
        </is>
      </c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  <c r="AA22" s="9" t="n"/>
    </row>
    <row r="23">
      <c r="A23" s="2" t="inlineStr">
        <is>
          <t>Year</t>
        </is>
      </c>
      <c r="B23" s="3" t="n">
        <v>0</v>
      </c>
      <c r="C23" s="3" t="n">
        <v>1</v>
      </c>
      <c r="D23" s="3" t="n">
        <v>2</v>
      </c>
      <c r="E23" s="3" t="n">
        <v>3</v>
      </c>
      <c r="F23" s="3" t="n">
        <v>4</v>
      </c>
      <c r="G23" s="3" t="n">
        <v>5</v>
      </c>
      <c r="H23" s="3" t="n">
        <v>6</v>
      </c>
      <c r="I23" s="3" t="n">
        <v>7</v>
      </c>
      <c r="J23" s="3" t="n">
        <v>8</v>
      </c>
      <c r="K23" s="3" t="n">
        <v>9</v>
      </c>
      <c r="L23" s="3" t="n">
        <v>10</v>
      </c>
      <c r="M23" s="3" t="n">
        <v>11</v>
      </c>
      <c r="N23" s="3" t="n">
        <v>12</v>
      </c>
      <c r="O23" s="3" t="n">
        <v>13</v>
      </c>
      <c r="P23" s="3" t="n">
        <v>14</v>
      </c>
      <c r="Q23" s="3" t="n">
        <v>15</v>
      </c>
      <c r="R23" s="3" t="n">
        <v>16</v>
      </c>
      <c r="S23" s="3" t="n">
        <v>17</v>
      </c>
      <c r="T23" s="3" t="n">
        <v>18</v>
      </c>
      <c r="U23" s="3" t="n">
        <v>19</v>
      </c>
      <c r="V23" s="3" t="n">
        <v>20</v>
      </c>
      <c r="W23" s="3" t="n">
        <v>21</v>
      </c>
      <c r="X23" s="3" t="n">
        <v>22</v>
      </c>
      <c r="Y23" s="3" t="n">
        <v>23</v>
      </c>
      <c r="Z23" s="3" t="n">
        <v>24</v>
      </c>
      <c r="AA23" s="3" t="n">
        <v>25</v>
      </c>
    </row>
    <row r="24">
      <c r="A24" s="3" t="inlineStr">
        <is>
          <t>Debt Balance ($)</t>
        </is>
      </c>
      <c r="B24" s="10" t="n">
        <v>31358.5</v>
      </c>
      <c r="C24" s="11">
        <f>B24-C26</f>
        <v/>
      </c>
      <c r="D24" s="11">
        <f>C24-D26</f>
        <v/>
      </c>
      <c r="E24" s="11">
        <f>D24-E26</f>
        <v/>
      </c>
      <c r="F24" s="11">
        <f>E24-F26</f>
        <v/>
      </c>
      <c r="G24" s="11">
        <f>F24-G26</f>
        <v/>
      </c>
      <c r="H24" s="11">
        <f>G24-H26</f>
        <v/>
      </c>
      <c r="I24" s="11">
        <f>H24-I26</f>
        <v/>
      </c>
      <c r="J24" s="11">
        <f>I24-J26</f>
        <v/>
      </c>
      <c r="K24" s="11">
        <f>J24-K26</f>
        <v/>
      </c>
      <c r="L24" s="11">
        <f>K24-L26</f>
        <v/>
      </c>
      <c r="M24" s="11">
        <f>L24-M26</f>
        <v/>
      </c>
      <c r="N24" s="11">
        <f>M24-N26</f>
        <v/>
      </c>
      <c r="O24" s="11">
        <f>N24-O26</f>
        <v/>
      </c>
      <c r="P24" s="11">
        <f>O24-P26</f>
        <v/>
      </c>
      <c r="Q24" s="11">
        <f>P24-Q26</f>
        <v/>
      </c>
      <c r="R24" s="11">
        <f>Q24-R26</f>
        <v/>
      </c>
      <c r="S24" s="11">
        <f>R24-S26</f>
        <v/>
      </c>
      <c r="T24" s="11">
        <f>S24-T26</f>
        <v/>
      </c>
      <c r="U24" s="11">
        <f>T24-U26</f>
        <v/>
      </c>
      <c r="V24" s="11">
        <f>U24-V26</f>
        <v/>
      </c>
      <c r="W24" s="11">
        <f>V24-W26</f>
        <v/>
      </c>
      <c r="X24" s="11">
        <f>W24-X26</f>
        <v/>
      </c>
      <c r="Y24" s="11">
        <f>X24-Y26</f>
        <v/>
      </c>
      <c r="Z24" s="11">
        <f>Y24-Z26</f>
        <v/>
      </c>
      <c r="AA24" s="11">
        <f>Z24-AA26</f>
        <v/>
      </c>
    </row>
    <row r="25">
      <c r="A25" s="3" t="inlineStr">
        <is>
          <t>Interest Payment ($)</t>
        </is>
      </c>
      <c r="B25" s="11" t="n">
        <v>0</v>
      </c>
      <c r="C25" s="11">
        <f>B24*Inputs!$C$8</f>
        <v/>
      </c>
      <c r="D25" s="11">
        <f>C24*Inputs!$C$8</f>
        <v/>
      </c>
      <c r="E25" s="11">
        <f>D24*Inputs!$C$8</f>
        <v/>
      </c>
      <c r="F25" s="11">
        <f>E24*Inputs!$C$8</f>
        <v/>
      </c>
      <c r="G25" s="11">
        <f>F24*Inputs!$C$8</f>
        <v/>
      </c>
      <c r="H25" s="11">
        <f>G24*Inputs!$C$8</f>
        <v/>
      </c>
      <c r="I25" s="11">
        <f>H24*Inputs!$C$8</f>
        <v/>
      </c>
      <c r="J25" s="11">
        <f>I24*Inputs!$C$8</f>
        <v/>
      </c>
      <c r="K25" s="11">
        <f>J24*Inputs!$C$8</f>
        <v/>
      </c>
      <c r="L25" s="11">
        <f>K24*Inputs!$C$8</f>
        <v/>
      </c>
      <c r="M25" s="11">
        <f>L24*Inputs!$C$8</f>
        <v/>
      </c>
      <c r="N25" s="11">
        <f>M24*Inputs!$C$8</f>
        <v/>
      </c>
      <c r="O25" s="11">
        <f>N24*Inputs!$C$8</f>
        <v/>
      </c>
      <c r="P25" s="11">
        <f>O24*Inputs!$C$8</f>
        <v/>
      </c>
      <c r="Q25" s="11">
        <f>P24*Inputs!$C$8</f>
        <v/>
      </c>
      <c r="R25" s="11">
        <f>Q24*Inputs!$C$8</f>
        <v/>
      </c>
      <c r="S25" s="11">
        <f>R24*Inputs!$C$8</f>
        <v/>
      </c>
      <c r="T25" s="11">
        <f>S24*Inputs!$C$8</f>
        <v/>
      </c>
      <c r="U25" s="11">
        <f>T24*Inputs!$C$8</f>
        <v/>
      </c>
      <c r="V25" s="11">
        <f>U24*Inputs!$C$8</f>
        <v/>
      </c>
      <c r="W25" s="11">
        <f>V24*Inputs!$C$8</f>
        <v/>
      </c>
      <c r="X25" s="11">
        <f>W24*Inputs!$C$8</f>
        <v/>
      </c>
      <c r="Y25" s="11">
        <f>X24*Inputs!$C$8</f>
        <v/>
      </c>
      <c r="Z25" s="11">
        <f>Y24*Inputs!$C$8</f>
        <v/>
      </c>
      <c r="AA25" s="11">
        <f>Z24*Inputs!$C$8</f>
        <v/>
      </c>
    </row>
    <row r="26">
      <c r="A26" s="3" t="inlineStr">
        <is>
          <t>Principal Payment ($)</t>
        </is>
      </c>
      <c r="B26" s="11" t="n">
        <v>0</v>
      </c>
      <c r="C26" s="11">
        <f>-PMT(Inputs!$C$8,Inputs!$C$9,$B$24)-C25</f>
        <v/>
      </c>
      <c r="D26" s="11">
        <f>-PMT(Inputs!$C$8,Inputs!$C$9,$B$24)-D25</f>
        <v/>
      </c>
      <c r="E26" s="11">
        <f>-PMT(Inputs!$C$8,Inputs!$C$9,$B$24)-E25</f>
        <v/>
      </c>
      <c r="F26" s="11">
        <f>-PMT(Inputs!$C$8,Inputs!$C$9,$B$24)-F25</f>
        <v/>
      </c>
      <c r="G26" s="11">
        <f>-PMT(Inputs!$C$8,Inputs!$C$9,$B$24)-G25</f>
        <v/>
      </c>
      <c r="H26" s="11">
        <f>-PMT(Inputs!$C$8,Inputs!$C$9,$B$24)-H25</f>
        <v/>
      </c>
      <c r="I26" s="11">
        <f>-PMT(Inputs!$C$8,Inputs!$C$9,$B$24)-I25</f>
        <v/>
      </c>
      <c r="J26" s="11">
        <f>-PMT(Inputs!$C$8,Inputs!$C$9,$B$24)-J25</f>
        <v/>
      </c>
      <c r="K26" s="11">
        <f>-PMT(Inputs!$C$8,Inputs!$C$9,$B$24)-K25</f>
        <v/>
      </c>
      <c r="L26" s="11">
        <f>-PMT(Inputs!$C$8,Inputs!$C$9,$B$24)-L25</f>
        <v/>
      </c>
      <c r="M26" s="11">
        <f>-PMT(Inputs!$C$8,Inputs!$C$9,$B$24)-M25</f>
        <v/>
      </c>
      <c r="N26" s="11">
        <f>-PMT(Inputs!$C$8,Inputs!$C$9,$B$24)-N25</f>
        <v/>
      </c>
      <c r="O26" s="11">
        <f>-PMT(Inputs!$C$8,Inputs!$C$9,$B$24)-O25</f>
        <v/>
      </c>
      <c r="P26" s="11">
        <f>-PMT(Inputs!$C$8,Inputs!$C$9,$B$24)-P25</f>
        <v/>
      </c>
      <c r="Q26" s="11">
        <f>-PMT(Inputs!$C$8,Inputs!$C$9,$B$24)-Q25</f>
        <v/>
      </c>
      <c r="R26" s="11">
        <f>-PMT(Inputs!$C$8,Inputs!$C$9,$B$24)-R25</f>
        <v/>
      </c>
      <c r="S26" s="11">
        <f>-PMT(Inputs!$C$8,Inputs!$C$9,$B$24)-S25</f>
        <v/>
      </c>
      <c r="T26" s="11">
        <f>-PMT(Inputs!$C$8,Inputs!$C$9,$B$24)-T25</f>
        <v/>
      </c>
      <c r="U26" s="11">
        <f>-PMT(Inputs!$C$8,Inputs!$C$9,$B$24)-U25</f>
        <v/>
      </c>
      <c r="V26" s="11">
        <f>-PMT(Inputs!$C$8,Inputs!$C$9,$B$24)-V25</f>
        <v/>
      </c>
      <c r="W26" s="11">
        <f>-PMT(Inputs!$C$8,Inputs!$C$9,$B$24)-W25</f>
        <v/>
      </c>
      <c r="X26" s="11">
        <f>-PMT(Inputs!$C$8,Inputs!$C$9,$B$24)-X25</f>
        <v/>
      </c>
      <c r="Y26" s="11">
        <f>-PMT(Inputs!$C$8,Inputs!$C$9,$B$24)-Y25</f>
        <v/>
      </c>
      <c r="Z26" s="11">
        <f>-PMT(Inputs!$C$8,Inputs!$C$9,$B$24)-Z25</f>
        <v/>
      </c>
      <c r="AA26" s="11">
        <f>-PMT(Inputs!$C$8,Inputs!$C$9,$B$24)-AA25</f>
        <v/>
      </c>
    </row>
    <row r="27">
      <c r="A27" s="3" t="inlineStr">
        <is>
          <t>Total P&amp;I Payment ($)</t>
        </is>
      </c>
      <c r="B27" s="11" t="n">
        <v>0</v>
      </c>
      <c r="C27" s="11">
        <f>C25+C26</f>
        <v/>
      </c>
      <c r="D27" s="11">
        <f>D25+D26</f>
        <v/>
      </c>
      <c r="E27" s="11">
        <f>E25+E26</f>
        <v/>
      </c>
      <c r="F27" s="11">
        <f>F25+F26</f>
        <v/>
      </c>
      <c r="G27" s="11">
        <f>G25+G26</f>
        <v/>
      </c>
      <c r="H27" s="11">
        <f>H25+H26</f>
        <v/>
      </c>
      <c r="I27" s="11">
        <f>I25+I26</f>
        <v/>
      </c>
      <c r="J27" s="11">
        <f>J25+J26</f>
        <v/>
      </c>
      <c r="K27" s="11">
        <f>K25+K26</f>
        <v/>
      </c>
      <c r="L27" s="11">
        <f>L25+L26</f>
        <v/>
      </c>
      <c r="M27" s="11">
        <f>M25+M26</f>
        <v/>
      </c>
      <c r="N27" s="11">
        <f>N25+N26</f>
        <v/>
      </c>
      <c r="O27" s="11">
        <f>O25+O26</f>
        <v/>
      </c>
      <c r="P27" s="11">
        <f>P25+P26</f>
        <v/>
      </c>
      <c r="Q27" s="11">
        <f>Q25+Q26</f>
        <v/>
      </c>
      <c r="R27" s="11">
        <f>R25+R26</f>
        <v/>
      </c>
      <c r="S27" s="11">
        <f>S25+S26</f>
        <v/>
      </c>
      <c r="T27" s="11">
        <f>T25+T26</f>
        <v/>
      </c>
      <c r="U27" s="11">
        <f>U25+U26</f>
        <v/>
      </c>
      <c r="V27" s="11">
        <f>V25+V26</f>
        <v/>
      </c>
      <c r="W27" s="11">
        <f>W25+W26</f>
        <v/>
      </c>
      <c r="X27" s="11">
        <f>X25+X26</f>
        <v/>
      </c>
      <c r="Y27" s="11">
        <f>Y25+Y26</f>
        <v/>
      </c>
      <c r="Z27" s="11">
        <f>Z25+Z26</f>
        <v/>
      </c>
      <c r="AA27" s="11">
        <f>AA25+AA26</f>
        <v/>
      </c>
    </row>
    <row r="28">
      <c r="A28" s="3" t="inlineStr">
        <is>
          <t>Bill w/o System ($)</t>
        </is>
      </c>
      <c r="B28" s="11" t="n">
        <v>0</v>
      </c>
      <c r="C28" s="10" t="n">
        <v>2786.95</v>
      </c>
      <c r="D28" s="11">
        <f>C28*(1+Inputs!$C$11)</f>
        <v/>
      </c>
      <c r="E28" s="11">
        <f>D28*(1+Inputs!$C$11)</f>
        <v/>
      </c>
      <c r="F28" s="11">
        <f>E28*(1+Inputs!$C$11)</f>
        <v/>
      </c>
      <c r="G28" s="11">
        <f>F28*(1+Inputs!$C$11)</f>
        <v/>
      </c>
      <c r="H28" s="11">
        <f>G28*(1+Inputs!$C$11)</f>
        <v/>
      </c>
      <c r="I28" s="11">
        <f>H28*(1+Inputs!$C$11)</f>
        <v/>
      </c>
      <c r="J28" s="11">
        <f>I28*(1+Inputs!$C$11)</f>
        <v/>
      </c>
      <c r="K28" s="11">
        <f>J28*(1+Inputs!$C$11)</f>
        <v/>
      </c>
      <c r="L28" s="11">
        <f>K28*(1+Inputs!$C$11)</f>
        <v/>
      </c>
      <c r="M28" s="11">
        <f>L28*(1+Inputs!$C$11)</f>
        <v/>
      </c>
      <c r="N28" s="11">
        <f>M28*(1+Inputs!$C$11)</f>
        <v/>
      </c>
      <c r="O28" s="11">
        <f>N28*(1+Inputs!$C$11)</f>
        <v/>
      </c>
      <c r="P28" s="11">
        <f>O28*(1+Inputs!$C$11)</f>
        <v/>
      </c>
      <c r="Q28" s="11">
        <f>P28*(1+Inputs!$C$11)</f>
        <v/>
      </c>
      <c r="R28" s="11">
        <f>Q28*(1+Inputs!$C$11)</f>
        <v/>
      </c>
      <c r="S28" s="11">
        <f>R28*(1+Inputs!$C$11)</f>
        <v/>
      </c>
      <c r="T28" s="11">
        <f>S28*(1+Inputs!$C$11)</f>
        <v/>
      </c>
      <c r="U28" s="11">
        <f>T28*(1+Inputs!$C$11)</f>
        <v/>
      </c>
      <c r="V28" s="11">
        <f>U28*(1+Inputs!$C$11)</f>
        <v/>
      </c>
      <c r="W28" s="11">
        <f>V28*(1+Inputs!$C$11)</f>
        <v/>
      </c>
      <c r="X28" s="11">
        <f>W28*(1+Inputs!$C$11)</f>
        <v/>
      </c>
      <c r="Y28" s="11">
        <f>X28*(1+Inputs!$C$11)</f>
        <v/>
      </c>
      <c r="Z28" s="11">
        <f>Y28*(1+Inputs!$C$11)</f>
        <v/>
      </c>
      <c r="AA28" s="11">
        <f>Z28*(1+Inputs!$C$11)</f>
        <v/>
      </c>
    </row>
    <row r="29">
      <c r="A29" s="3" t="inlineStr">
        <is>
          <t>Bill w/ System ($)</t>
        </is>
      </c>
      <c r="B29" s="11" t="n">
        <v>0</v>
      </c>
      <c r="C29" s="10" t="n">
        <v>1688.15</v>
      </c>
      <c r="D29" s="11">
        <f>D28-1098.8*(1+Inputs!$C$11)^(2-1)</f>
        <v/>
      </c>
      <c r="E29" s="11">
        <f>E28-1098.8*(1+Inputs!$C$11)^(3-1)</f>
        <v/>
      </c>
      <c r="F29" s="11">
        <f>F28-1098.8*(1+Inputs!$C$11)^(4-1)</f>
        <v/>
      </c>
      <c r="G29" s="11">
        <f>G28-1098.8*(1+Inputs!$C$11)^(5-1)</f>
        <v/>
      </c>
      <c r="H29" s="11">
        <f>H28-1098.8*(1+Inputs!$C$11)^(6-1)</f>
        <v/>
      </c>
      <c r="I29" s="11">
        <f>I28-1098.8*(1+Inputs!$C$11)^(7-1)</f>
        <v/>
      </c>
      <c r="J29" s="11">
        <f>J28-1098.8*(1+Inputs!$C$11)^(8-1)</f>
        <v/>
      </c>
      <c r="K29" s="11">
        <f>K28-1098.8*(1+Inputs!$C$11)^(9-1)</f>
        <v/>
      </c>
      <c r="L29" s="11">
        <f>L28-1098.8*(1+Inputs!$C$11)^(10-1)</f>
        <v/>
      </c>
      <c r="M29" s="11">
        <f>M28-1098.8*(1+Inputs!$C$11)^(11-1)</f>
        <v/>
      </c>
      <c r="N29" s="11">
        <f>N28-1098.8*(1+Inputs!$C$11)^(12-1)</f>
        <v/>
      </c>
      <c r="O29" s="11">
        <f>O28-1098.8*(1+Inputs!$C$11)^(13-1)</f>
        <v/>
      </c>
      <c r="P29" s="11">
        <f>P28-1098.8*(1+Inputs!$C$11)^(14-1)</f>
        <v/>
      </c>
      <c r="Q29" s="11">
        <f>Q28-1098.8*(1+Inputs!$C$11)^(15-1)</f>
        <v/>
      </c>
      <c r="R29" s="11">
        <f>R28-1098.8*(1+Inputs!$C$11)^(16-1)</f>
        <v/>
      </c>
      <c r="S29" s="11">
        <f>S28-1098.8*(1+Inputs!$C$11)^(17-1)</f>
        <v/>
      </c>
      <c r="T29" s="11">
        <f>T28-1098.8*(1+Inputs!$C$11)^(18-1)</f>
        <v/>
      </c>
      <c r="U29" s="11">
        <f>U28-1098.8*(1+Inputs!$C$11)^(19-1)</f>
        <v/>
      </c>
      <c r="V29" s="11">
        <f>V28-1098.8*(1+Inputs!$C$11)^(20-1)</f>
        <v/>
      </c>
      <c r="W29" s="11">
        <f>W28-1098.8*(1+Inputs!$C$11)^(21-1)</f>
        <v/>
      </c>
      <c r="X29" s="11">
        <f>X28-1098.8*(1+Inputs!$C$11)^(22-1)</f>
        <v/>
      </c>
      <c r="Y29" s="11">
        <f>Y28-1098.8*(1+Inputs!$C$11)^(23-1)</f>
        <v/>
      </c>
      <c r="Z29" s="11">
        <f>Z28-1098.8*(1+Inputs!$C$11)^(24-1)</f>
        <v/>
      </c>
      <c r="AA29" s="11">
        <f>AA28-1098.8*(1+Inputs!$C$11)^(25-1)</f>
        <v/>
      </c>
    </row>
    <row r="30">
      <c r="A30" s="3" t="inlineStr">
        <is>
          <t>Bill Savings ($)</t>
        </is>
      </c>
      <c r="B30" s="11" t="n">
        <v>0</v>
      </c>
      <c r="C30" s="11">
        <f>C28-C29</f>
        <v/>
      </c>
      <c r="D30" s="11">
        <f>D28-D29</f>
        <v/>
      </c>
      <c r="E30" s="11">
        <f>E28-E29</f>
        <v/>
      </c>
      <c r="F30" s="11">
        <f>F28-F29</f>
        <v/>
      </c>
      <c r="G30" s="11">
        <f>G28-G29</f>
        <v/>
      </c>
      <c r="H30" s="11">
        <f>H28-H29</f>
        <v/>
      </c>
      <c r="I30" s="11">
        <f>I28-I29</f>
        <v/>
      </c>
      <c r="J30" s="11">
        <f>J28-J29</f>
        <v/>
      </c>
      <c r="K30" s="11">
        <f>K28-K29</f>
        <v/>
      </c>
      <c r="L30" s="11">
        <f>L28-L29</f>
        <v/>
      </c>
      <c r="M30" s="11">
        <f>M28-M29</f>
        <v/>
      </c>
      <c r="N30" s="11">
        <f>N28-N29</f>
        <v/>
      </c>
      <c r="O30" s="11">
        <f>O28-O29</f>
        <v/>
      </c>
      <c r="P30" s="11">
        <f>P28-P29</f>
        <v/>
      </c>
      <c r="Q30" s="11">
        <f>Q28-Q29</f>
        <v/>
      </c>
      <c r="R30" s="11">
        <f>R28-R29</f>
        <v/>
      </c>
      <c r="S30" s="11">
        <f>S28-S29</f>
        <v/>
      </c>
      <c r="T30" s="11">
        <f>T28-T29</f>
        <v/>
      </c>
      <c r="U30" s="11">
        <f>U28-U29</f>
        <v/>
      </c>
      <c r="V30" s="11">
        <f>V28-V29</f>
        <v/>
      </c>
      <c r="W30" s="11">
        <f>W28-W29</f>
        <v/>
      </c>
      <c r="X30" s="11">
        <f>X28-X29</f>
        <v/>
      </c>
      <c r="Y30" s="11">
        <f>Y28-Y29</f>
        <v/>
      </c>
      <c r="Z30" s="11">
        <f>Z28-Z29</f>
        <v/>
      </c>
      <c r="AA30" s="11">
        <f>AA28-AA29</f>
        <v/>
      </c>
    </row>
    <row r="31">
      <c r="A31" s="3" t="inlineStr">
        <is>
          <t>Incentive Annual ($)</t>
        </is>
      </c>
      <c r="B31" s="11" t="n">
        <v>0</v>
      </c>
      <c r="C31" s="10" t="n">
        <v>0</v>
      </c>
      <c r="D31" s="10" t="n">
        <v>0</v>
      </c>
      <c r="E31" s="10" t="n">
        <v>0</v>
      </c>
      <c r="F31" s="10" t="n">
        <v>0</v>
      </c>
      <c r="G31" s="10" t="n">
        <v>0</v>
      </c>
      <c r="H31" s="10" t="n">
        <v>0</v>
      </c>
      <c r="I31" s="10" t="n">
        <v>0</v>
      </c>
      <c r="J31" s="10" t="n">
        <v>0</v>
      </c>
      <c r="K31" s="10" t="n">
        <v>0</v>
      </c>
      <c r="L31" s="10" t="n">
        <v>0</v>
      </c>
      <c r="M31" s="10" t="n">
        <v>0</v>
      </c>
      <c r="N31" s="10" t="n">
        <v>0</v>
      </c>
      <c r="O31" s="10" t="n">
        <v>0</v>
      </c>
      <c r="P31" s="10" t="n">
        <v>0</v>
      </c>
      <c r="Q31" s="10" t="n">
        <v>0</v>
      </c>
      <c r="R31" s="10" t="n">
        <v>0</v>
      </c>
      <c r="S31" s="10" t="n">
        <v>0</v>
      </c>
      <c r="T31" s="10" t="n">
        <v>0</v>
      </c>
      <c r="U31" s="10" t="n">
        <v>0</v>
      </c>
      <c r="V31" s="10" t="n">
        <v>0</v>
      </c>
      <c r="W31" s="10" t="n">
        <v>0</v>
      </c>
      <c r="X31" s="10" t="n">
        <v>0</v>
      </c>
      <c r="Y31" s="10" t="n">
        <v>0</v>
      </c>
      <c r="Z31" s="10" t="n">
        <v>0</v>
      </c>
      <c r="AA31" s="10" t="n">
        <v>0</v>
      </c>
    </row>
    <row r="32">
      <c r="A32" s="3" t="inlineStr">
        <is>
          <t>Total Savings ($)</t>
        </is>
      </c>
      <c r="B32" s="11" t="n">
        <v>0</v>
      </c>
      <c r="C32" s="11">
        <f>C30+C31</f>
        <v/>
      </c>
      <c r="D32" s="11">
        <f>D30+D31</f>
        <v/>
      </c>
      <c r="E32" s="11">
        <f>E30+E31</f>
        <v/>
      </c>
      <c r="F32" s="11">
        <f>F30+F31</f>
        <v/>
      </c>
      <c r="G32" s="11">
        <f>G30+G31</f>
        <v/>
      </c>
      <c r="H32" s="11">
        <f>H30+H31</f>
        <v/>
      </c>
      <c r="I32" s="11">
        <f>I30+I31</f>
        <v/>
      </c>
      <c r="J32" s="11">
        <f>J30+J31</f>
        <v/>
      </c>
      <c r="K32" s="11">
        <f>K30+K31</f>
        <v/>
      </c>
      <c r="L32" s="11">
        <f>L30+L31</f>
        <v/>
      </c>
      <c r="M32" s="11">
        <f>M30+M31</f>
        <v/>
      </c>
      <c r="N32" s="11">
        <f>N30+N31</f>
        <v/>
      </c>
      <c r="O32" s="11">
        <f>O30+O31</f>
        <v/>
      </c>
      <c r="P32" s="11">
        <f>P30+P31</f>
        <v/>
      </c>
      <c r="Q32" s="11">
        <f>Q30+Q31</f>
        <v/>
      </c>
      <c r="R32" s="11">
        <f>R30+R31</f>
        <v/>
      </c>
      <c r="S32" s="11">
        <f>S30+S31</f>
        <v/>
      </c>
      <c r="T32" s="11">
        <f>T30+T31</f>
        <v/>
      </c>
      <c r="U32" s="11">
        <f>U30+U31</f>
        <v/>
      </c>
      <c r="V32" s="11">
        <f>V30+V31</f>
        <v/>
      </c>
      <c r="W32" s="11">
        <f>W30+W31</f>
        <v/>
      </c>
      <c r="X32" s="11">
        <f>X30+X31</f>
        <v/>
      </c>
      <c r="Y32" s="11">
        <f>Y30+Y31</f>
        <v/>
      </c>
      <c r="Z32" s="11">
        <f>Z30+Z31</f>
        <v/>
      </c>
      <c r="AA32" s="11">
        <f>AA30+AA31</f>
        <v/>
      </c>
    </row>
    <row r="33">
      <c r="A33" s="3" t="inlineStr">
        <is>
          <t>Net Savings ($)</t>
        </is>
      </c>
      <c r="B33" s="11" t="n">
        <v>0</v>
      </c>
      <c r="C33" s="11">
        <f>C32-C27</f>
        <v/>
      </c>
      <c r="D33" s="11">
        <f>D32-D27</f>
        <v/>
      </c>
      <c r="E33" s="11">
        <f>E32-E27</f>
        <v/>
      </c>
      <c r="F33" s="11">
        <f>F32-F27</f>
        <v/>
      </c>
      <c r="G33" s="11">
        <f>G32-G27</f>
        <v/>
      </c>
      <c r="H33" s="11">
        <f>H32-H27</f>
        <v/>
      </c>
      <c r="I33" s="11">
        <f>I32-I27</f>
        <v/>
      </c>
      <c r="J33" s="11">
        <f>J32-J27</f>
        <v/>
      </c>
      <c r="K33" s="11">
        <f>K32-K27</f>
        <v/>
      </c>
      <c r="L33" s="11">
        <f>L32-L27</f>
        <v/>
      </c>
      <c r="M33" s="11">
        <f>M32-M27</f>
        <v/>
      </c>
      <c r="N33" s="11">
        <f>N32-N27</f>
        <v/>
      </c>
      <c r="O33" s="11">
        <f>O32-O27</f>
        <v/>
      </c>
      <c r="P33" s="11">
        <f>P32-P27</f>
        <v/>
      </c>
      <c r="Q33" s="11">
        <f>Q32-Q27</f>
        <v/>
      </c>
      <c r="R33" s="11">
        <f>R32-R27</f>
        <v/>
      </c>
      <c r="S33" s="11">
        <f>S32-S27</f>
        <v/>
      </c>
      <c r="T33" s="11">
        <f>T32-T27</f>
        <v/>
      </c>
      <c r="U33" s="11">
        <f>U32-U27</f>
        <v/>
      </c>
      <c r="V33" s="11">
        <f>V32-V27</f>
        <v/>
      </c>
      <c r="W33" s="11">
        <f>W32-W27</f>
        <v/>
      </c>
      <c r="X33" s="11">
        <f>X32-X27</f>
        <v/>
      </c>
      <c r="Y33" s="11">
        <f>Y32-Y27</f>
        <v/>
      </c>
      <c r="Z33" s="11">
        <f>Z32-Z27</f>
        <v/>
      </c>
      <c r="AA33" s="11">
        <f>AA32-AA27</f>
        <v/>
      </c>
    </row>
    <row r="34">
      <c r="A34" s="3" t="inlineStr">
        <is>
          <t>Cumulative NPV ($)</t>
        </is>
      </c>
      <c r="B34" s="11" t="n">
        <v>0</v>
      </c>
      <c r="C34" s="11">
        <f>C33/(1+Inputs!$C$10)^1</f>
        <v/>
      </c>
      <c r="D34" s="11">
        <f>C34+D33/(1+Inputs!$C$10)^2</f>
        <v/>
      </c>
      <c r="E34" s="11">
        <f>D34+E33/(1+Inputs!$C$10)^3</f>
        <v/>
      </c>
      <c r="F34" s="11">
        <f>E34+F33/(1+Inputs!$C$10)^4</f>
        <v/>
      </c>
      <c r="G34" s="11">
        <f>F34+G33/(1+Inputs!$C$10)^5</f>
        <v/>
      </c>
      <c r="H34" s="11">
        <f>G34+H33/(1+Inputs!$C$10)^6</f>
        <v/>
      </c>
      <c r="I34" s="11">
        <f>H34+I33/(1+Inputs!$C$10)^7</f>
        <v/>
      </c>
      <c r="J34" s="11">
        <f>I34+J33/(1+Inputs!$C$10)^8</f>
        <v/>
      </c>
      <c r="K34" s="11">
        <f>J34+K33/(1+Inputs!$C$10)^9</f>
        <v/>
      </c>
      <c r="L34" s="11">
        <f>K34+L33/(1+Inputs!$C$10)^10</f>
        <v/>
      </c>
      <c r="M34" s="11">
        <f>L34+M33/(1+Inputs!$C$10)^11</f>
        <v/>
      </c>
      <c r="N34" s="11">
        <f>M34+N33/(1+Inputs!$C$10)^12</f>
        <v/>
      </c>
      <c r="O34" s="11">
        <f>N34+O33/(1+Inputs!$C$10)^13</f>
        <v/>
      </c>
      <c r="P34" s="11">
        <f>O34+P33/(1+Inputs!$C$10)^14</f>
        <v/>
      </c>
      <c r="Q34" s="11">
        <f>P34+Q33/(1+Inputs!$C$10)^15</f>
        <v/>
      </c>
      <c r="R34" s="11">
        <f>Q34+R33/(1+Inputs!$C$10)^16</f>
        <v/>
      </c>
      <c r="S34" s="11">
        <f>R34+S33/(1+Inputs!$C$10)^17</f>
        <v/>
      </c>
      <c r="T34" s="11">
        <f>S34+T33/(1+Inputs!$C$10)^18</f>
        <v/>
      </c>
      <c r="U34" s="11">
        <f>T34+U33/(1+Inputs!$C$10)^19</f>
        <v/>
      </c>
      <c r="V34" s="11">
        <f>U34+V33/(1+Inputs!$C$10)^20</f>
        <v/>
      </c>
      <c r="W34" s="11">
        <f>V34+W33/(1+Inputs!$C$10)^21</f>
        <v/>
      </c>
      <c r="X34" s="11">
        <f>W34+X33/(1+Inputs!$C$10)^22</f>
        <v/>
      </c>
      <c r="Y34" s="11">
        <f>X34+Y33/(1+Inputs!$C$10)^23</f>
        <v/>
      </c>
      <c r="Z34" s="11">
        <f>Y34+Z33/(1+Inputs!$C$10)^24</f>
        <v/>
      </c>
      <c r="AA34" s="11">
        <f>Z34+AA33/(1+Inputs!$C$10)^25</f>
        <v/>
      </c>
    </row>
    <row r="35">
      <c r="A35" s="3" t="inlineStr">
        <is>
          <t>Simple Payback (yr)</t>
        </is>
      </c>
      <c r="B35" s="12" t="inlineStr">
        <is>
          <t>Simple Payback: 28.5 years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Duke NSOE MEM 2026 Cohort</dc:creator>
  <dcterms:created xmlns:dcterms="http://purl.org/dc/terms/" xmlns:xsi="http://www.w3.org/2001/XMLSchema-instance" xsi:type="dcterms:W3CDTF">2026-03-24T14:30:27Z</dcterms:created>
  <dcterms:modified xmlns:dcterms="http://purl.org/dc/terms/" xmlns:xsi="http://www.w3.org/2001/XMLSchema-instance" xsi:type="dcterms:W3CDTF">2026-03-24T14:30:27Z</dcterms:modified>
</cp:coreProperties>
</file>