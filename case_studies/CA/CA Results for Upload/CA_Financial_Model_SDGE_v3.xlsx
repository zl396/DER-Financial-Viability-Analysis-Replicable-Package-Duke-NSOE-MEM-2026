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olar Only" sheetId="2" state="visible" r:id="rId2"/>
    <sheet xmlns:r="http://schemas.openxmlformats.org/officeDocument/2006/relationships" name="PV+Storage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0.0"/>
    <numFmt numFmtId="166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666666"/>
      <sz val="9"/>
    </font>
    <font>
      <name val="Arial"/>
      <b val="1"/>
      <color rgb="00000000"/>
      <sz val="12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b val="1"/>
      <color rgb="00000000"/>
      <sz val="11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0" pivotButton="0" quotePrefix="0" xfId="0"/>
    <xf numFmtId="2" fontId="5" fillId="2" borderId="0" pivotButton="0" quotePrefix="0" xfId="0"/>
    <xf numFmtId="165" fontId="5" fillId="2" borderId="0" pivotButton="0" quotePrefix="0" xfId="0"/>
    <xf numFmtId="166" fontId="5" fillId="2" borderId="0" pivotButton="0" quotePrefix="0" xfId="0"/>
    <xf numFmtId="1" fontId="5" fillId="2" borderId="0" pivotButton="0" quotePrefix="0" xfId="0"/>
    <xf numFmtId="164" fontId="4" fillId="0" borderId="0" pivotButton="0" quotePrefix="0" xfId="0"/>
    <xf numFmtId="0" fontId="6" fillId="3" borderId="0" pivotButton="0" quotePrefix="0" xfId="0"/>
    <xf numFmtId="3" fontId="4" fillId="0" borderId="0" pivotButton="0" quotePrefix="0" xfId="0"/>
    <xf numFmtId="0" fontId="6" fillId="4" borderId="0" pivotButton="0" quotePrefix="0" xfId="0"/>
    <xf numFmtId="1" fontId="6" fillId="4" borderId="0" pivotButton="0" quotePrefix="0" xfId="0"/>
    <xf numFmtId="164" fontId="7" fillId="0" borderId="0" pivotButton="0" quotePrefix="0" xfId="0"/>
    <xf numFmtId="0" fontId="6" fillId="0" borderId="0" pivotButton="0" quotePrefix="0" xfId="0"/>
    <xf numFmtId="0" fontId="8" fillId="0" borderId="1" pivotButton="0" quotePrefix="0" xfId="0"/>
    <xf numFmtId="164" fontId="4" fillId="0" borderId="1" pivotButton="0" quotePrefix="0" xfId="0"/>
    <xf numFmtId="0" fontId="9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B1:E30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55" customWidth="1" min="5" max="5"/>
  </cols>
  <sheetData>
    <row r="1">
      <c r="B1" s="1" t="inlineStr">
        <is>
          <t>SDG&amp;E (EV-TOU-5) — Input Parameters</t>
        </is>
      </c>
    </row>
    <row r="2">
      <c r="B2" s="2" t="inlineStr">
        <is>
          <t>Blue = editable  |  Black = formula  |  Green = cross-sheet link</t>
        </is>
      </c>
    </row>
    <row r="4">
      <c r="B4" s="3" t="inlineStr">
        <is>
          <t>SYSTEM PARAMETERS</t>
        </is>
      </c>
    </row>
    <row r="5">
      <c r="B5" s="4" t="inlineStr">
        <is>
          <t>PV + Storage System Cost</t>
        </is>
      </c>
      <c r="C5" s="5" t="n">
        <v>32031.5</v>
      </c>
      <c r="E5" s="2" t="inlineStr">
        <is>
          <t>Solar $17,303 + Battery $14,728</t>
        </is>
      </c>
    </row>
    <row r="6">
      <c r="B6" s="4" t="inlineStr">
        <is>
          <t>Solar Only System Cost</t>
        </is>
      </c>
      <c r="C6" s="5" t="n">
        <v>17303</v>
      </c>
      <c r="E6" s="2" t="inlineStr">
        <is>
          <t>Tao Sun et al. (2025), CA: $2860/kW</t>
        </is>
      </c>
    </row>
    <row r="7">
      <c r="B7" s="4" t="inlineStr">
        <is>
          <t>Solar PV Capacity</t>
        </is>
      </c>
      <c r="C7" s="6" t="n">
        <v>6.05</v>
      </c>
      <c r="D7" s="4" t="inlineStr">
        <is>
          <t>kW</t>
        </is>
      </c>
    </row>
    <row r="8">
      <c r="B8" s="4" t="inlineStr">
        <is>
          <t>Battery Storage Capacity</t>
        </is>
      </c>
      <c r="C8" s="7" t="n">
        <v>13.5</v>
      </c>
      <c r="D8" s="4" t="inlineStr">
        <is>
          <t>kWh</t>
        </is>
      </c>
    </row>
    <row r="10">
      <c r="B10" s="3" t="inlineStr">
        <is>
          <t>FINANCIAL PARAMETERS</t>
        </is>
      </c>
    </row>
    <row r="11">
      <c r="B11" s="4" t="inlineStr">
        <is>
          <t>Debt Interest Rate</t>
        </is>
      </c>
      <c r="C11" s="8" t="n">
        <v>0.07240000000000001</v>
      </c>
    </row>
    <row r="12">
      <c r="B12" s="4" t="inlineStr">
        <is>
          <t>Customer Discount Rate</t>
        </is>
      </c>
      <c r="C12" s="8" t="n">
        <v>0.064</v>
      </c>
    </row>
    <row r="13">
      <c r="B13" s="4" t="inlineStr">
        <is>
          <t>Loan Term</t>
        </is>
      </c>
      <c r="C13" s="9" t="n">
        <v>25</v>
      </c>
      <c r="D13" s="4" t="inlineStr">
        <is>
          <t>years</t>
        </is>
      </c>
    </row>
    <row r="14">
      <c r="B14" s="4" t="inlineStr">
        <is>
          <t>Electricity Cost Escalation Rate</t>
        </is>
      </c>
      <c r="C14" s="8" t="n">
        <v>0.025</v>
      </c>
    </row>
    <row r="16">
      <c r="B16" s="3" t="inlineStr">
        <is>
          <t>INCENTIVES</t>
        </is>
      </c>
    </row>
    <row r="17">
      <c r="B17" s="4" t="inlineStr">
        <is>
          <t>Federal ITC Rate</t>
        </is>
      </c>
      <c r="C17" s="8" t="n">
        <v>0</v>
      </c>
      <c r="E17" s="2" t="inlineStr">
        <is>
          <t>Expired Dec 2025; set to 0%</t>
        </is>
      </c>
    </row>
    <row r="18">
      <c r="B18" s="4" t="inlineStr">
        <is>
          <t>FedITC Amount — PV+Storage</t>
        </is>
      </c>
      <c r="C18" s="10">
        <f>C5*C17</f>
        <v/>
      </c>
    </row>
    <row r="19">
      <c r="B19" s="4" t="inlineStr">
        <is>
          <t>FedITC Amount — Solar Only</t>
        </is>
      </c>
      <c r="C19" s="10">
        <f>C6*C17</f>
        <v/>
      </c>
    </row>
    <row r="20">
      <c r="B20" s="4" t="inlineStr">
        <is>
          <t>State Battery Incentive (SGIP)</t>
        </is>
      </c>
      <c r="C20" s="5" t="n">
        <v>0</v>
      </c>
      <c r="E20" s="2" t="inlineStr">
        <is>
          <t>SGIP closed Dec 2025; $0</t>
        </is>
      </c>
    </row>
    <row r="22">
      <c r="B22" s="3" t="inlineStr">
        <is>
          <t>YEAR 1 ELECTRICITY BILLS (from PySAM)</t>
        </is>
      </c>
    </row>
    <row r="23">
      <c r="C23" s="11" t="inlineStr">
        <is>
          <t>Without System</t>
        </is>
      </c>
      <c r="D23" s="11" t="inlineStr">
        <is>
          <t>With System</t>
        </is>
      </c>
      <c r="E23" s="11" t="inlineStr">
        <is>
          <t>Annual Savings</t>
        </is>
      </c>
    </row>
    <row r="25">
      <c r="B25" s="4" t="inlineStr">
        <is>
          <t>SDG&amp;E — Solar Only (EV-TOU-5)</t>
        </is>
      </c>
      <c r="C25" s="5" t="n">
        <v>3226.29</v>
      </c>
      <c r="D25" s="5" t="n">
        <v>1907.79</v>
      </c>
      <c r="E25" s="10">
        <f>C25-D25</f>
        <v/>
      </c>
    </row>
    <row r="26">
      <c r="B26" s="4" t="inlineStr">
        <is>
          <t>SDG&amp;E — PV+Storage (EV-TOU-5)</t>
        </is>
      </c>
      <c r="C26" s="5" t="n">
        <v>3226.29</v>
      </c>
      <c r="D26" s="5" t="n">
        <v>807.38</v>
      </c>
      <c r="E26" s="10">
        <f>C26-D26</f>
        <v/>
      </c>
    </row>
    <row r="28">
      <c r="B28" s="3" t="inlineStr">
        <is>
          <t>PV PRODUCTION (from PySAM)</t>
        </is>
      </c>
    </row>
    <row r="29">
      <c r="B29" s="4" t="inlineStr">
        <is>
          <t>San Diego Annual PV kWh</t>
        </is>
      </c>
      <c r="C29" s="12" t="n">
        <v>10239</v>
      </c>
    </row>
    <row r="30">
      <c r="B30" s="4" t="inlineStr">
        <is>
          <t>San Diego Annual Load kWh</t>
        </is>
      </c>
      <c r="C30" s="12" t="n">
        <v>7220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SDG&amp;E - Solar Only (EV-TOU-5)</t>
        </is>
      </c>
    </row>
    <row r="2">
      <c r="A2" s="2" t="inlineStr">
        <is>
          <t>All formulas reference Inputs sheet. No incentives (Phase A).</t>
        </is>
      </c>
    </row>
    <row r="4">
      <c r="A4" s="3" t="inlineStr">
        <is>
          <t>No Incentives (ITC=0%, SGIP=$0)</t>
        </is>
      </c>
    </row>
    <row r="5">
      <c r="A5" s="13" t="inlineStr">
        <is>
          <t>Year</t>
        </is>
      </c>
      <c r="B5" s="14" t="n">
        <v>0</v>
      </c>
      <c r="C5" s="14" t="n">
        <v>1</v>
      </c>
      <c r="D5" s="14" t="n">
        <v>2</v>
      </c>
      <c r="E5" s="14" t="n">
        <v>3</v>
      </c>
      <c r="F5" s="14" t="n">
        <v>4</v>
      </c>
      <c r="G5" s="14" t="n">
        <v>5</v>
      </c>
      <c r="H5" s="14" t="n">
        <v>6</v>
      </c>
      <c r="I5" s="14" t="n">
        <v>7</v>
      </c>
      <c r="J5" s="14" t="n">
        <v>8</v>
      </c>
      <c r="K5" s="14" t="n">
        <v>9</v>
      </c>
      <c r="L5" s="14" t="n">
        <v>10</v>
      </c>
      <c r="M5" s="14" t="n">
        <v>11</v>
      </c>
      <c r="N5" s="14" t="n">
        <v>12</v>
      </c>
      <c r="O5" s="14" t="n">
        <v>13</v>
      </c>
      <c r="P5" s="14" t="n">
        <v>14</v>
      </c>
      <c r="Q5" s="14" t="n">
        <v>15</v>
      </c>
      <c r="R5" s="14" t="n">
        <v>16</v>
      </c>
      <c r="S5" s="14" t="n">
        <v>17</v>
      </c>
      <c r="T5" s="14" t="n">
        <v>18</v>
      </c>
      <c r="U5" s="14" t="n">
        <v>19</v>
      </c>
      <c r="V5" s="14" t="n">
        <v>20</v>
      </c>
      <c r="W5" s="14" t="n">
        <v>21</v>
      </c>
      <c r="X5" s="14" t="n">
        <v>22</v>
      </c>
      <c r="Y5" s="14" t="n">
        <v>23</v>
      </c>
      <c r="Z5" s="14" t="n">
        <v>24</v>
      </c>
      <c r="AA5" s="14" t="n">
        <v>25</v>
      </c>
      <c r="AB5" s="13" t="inlineStr">
        <is>
          <t>25yr Total</t>
        </is>
      </c>
      <c r="AC5" s="13" t="inlineStr">
        <is>
          <t>25yr NPV</t>
        </is>
      </c>
    </row>
    <row r="6">
      <c r="A6" s="4" t="inlineStr">
        <is>
          <t>Debt Balance ($)</t>
        </is>
      </c>
      <c r="B6" s="15">
        <f>Inputs!C6</f>
        <v/>
      </c>
      <c r="C6" s="10">
        <f>MAX(0,B6-C8)</f>
        <v/>
      </c>
      <c r="D6" s="10">
        <f>MAX(0,C6-D8)</f>
        <v/>
      </c>
      <c r="E6" s="10">
        <f>MAX(0,D6-E8)</f>
        <v/>
      </c>
      <c r="F6" s="10">
        <f>MAX(0,E6-F8)</f>
        <v/>
      </c>
      <c r="G6" s="10">
        <f>MAX(0,F6-G8)</f>
        <v/>
      </c>
      <c r="H6" s="10">
        <f>MAX(0,G6-H8)</f>
        <v/>
      </c>
      <c r="I6" s="10">
        <f>MAX(0,H6-I8)</f>
        <v/>
      </c>
      <c r="J6" s="10">
        <f>MAX(0,I6-J8)</f>
        <v/>
      </c>
      <c r="K6" s="10">
        <f>MAX(0,J6-K8)</f>
        <v/>
      </c>
      <c r="L6" s="10">
        <f>MAX(0,K6-L8)</f>
        <v/>
      </c>
      <c r="M6" s="10">
        <f>MAX(0,L6-M8)</f>
        <v/>
      </c>
      <c r="N6" s="10">
        <f>MAX(0,M6-N8)</f>
        <v/>
      </c>
      <c r="O6" s="10">
        <f>MAX(0,N6-O8)</f>
        <v/>
      </c>
      <c r="P6" s="10">
        <f>MAX(0,O6-P8)</f>
        <v/>
      </c>
      <c r="Q6" s="10">
        <f>MAX(0,P6-Q8)</f>
        <v/>
      </c>
      <c r="R6" s="10">
        <f>MAX(0,Q6-R8)</f>
        <v/>
      </c>
      <c r="S6" s="10">
        <f>MAX(0,R6-S8)</f>
        <v/>
      </c>
      <c r="T6" s="10">
        <f>MAX(0,S6-T8)</f>
        <v/>
      </c>
      <c r="U6" s="10">
        <f>MAX(0,T6-U8)</f>
        <v/>
      </c>
      <c r="V6" s="10">
        <f>MAX(0,U6-V8)</f>
        <v/>
      </c>
      <c r="W6" s="10">
        <f>MAX(0,V6-W8)</f>
        <v/>
      </c>
      <c r="X6" s="10">
        <f>MAX(0,W6-X8)</f>
        <v/>
      </c>
      <c r="Y6" s="10">
        <f>MAX(0,X6-Y8)</f>
        <v/>
      </c>
      <c r="Z6" s="10">
        <f>MAX(0,Y6-Z8)</f>
        <v/>
      </c>
      <c r="AA6" s="10">
        <f>MAX(0,Z6-AA8)</f>
        <v/>
      </c>
    </row>
    <row r="7">
      <c r="A7" s="4" t="inlineStr">
        <is>
          <t>Interest Payment ($)</t>
        </is>
      </c>
      <c r="B7" s="10" t="n">
        <v>0</v>
      </c>
      <c r="C7" s="10">
        <f>IF(B6&lt;=0,0,B6*Inputs!$C$11)</f>
        <v/>
      </c>
      <c r="D7" s="10">
        <f>IF(C6&lt;=0,0,C6*Inputs!$C$11)</f>
        <v/>
      </c>
      <c r="E7" s="10">
        <f>IF(D6&lt;=0,0,D6*Inputs!$C$11)</f>
        <v/>
      </c>
      <c r="F7" s="10">
        <f>IF(E6&lt;=0,0,E6*Inputs!$C$11)</f>
        <v/>
      </c>
      <c r="G7" s="10">
        <f>IF(F6&lt;=0,0,F6*Inputs!$C$11)</f>
        <v/>
      </c>
      <c r="H7" s="10">
        <f>IF(G6&lt;=0,0,G6*Inputs!$C$11)</f>
        <v/>
      </c>
      <c r="I7" s="10">
        <f>IF(H6&lt;=0,0,H6*Inputs!$C$11)</f>
        <v/>
      </c>
      <c r="J7" s="10">
        <f>IF(I6&lt;=0,0,I6*Inputs!$C$11)</f>
        <v/>
      </c>
      <c r="K7" s="10">
        <f>IF(J6&lt;=0,0,J6*Inputs!$C$11)</f>
        <v/>
      </c>
      <c r="L7" s="10">
        <f>IF(K6&lt;=0,0,K6*Inputs!$C$11)</f>
        <v/>
      </c>
      <c r="M7" s="10">
        <f>IF(L6&lt;=0,0,L6*Inputs!$C$11)</f>
        <v/>
      </c>
      <c r="N7" s="10">
        <f>IF(M6&lt;=0,0,M6*Inputs!$C$11)</f>
        <v/>
      </c>
      <c r="O7" s="10">
        <f>IF(N6&lt;=0,0,N6*Inputs!$C$11)</f>
        <v/>
      </c>
      <c r="P7" s="10">
        <f>IF(O6&lt;=0,0,O6*Inputs!$C$11)</f>
        <v/>
      </c>
      <c r="Q7" s="10">
        <f>IF(P6&lt;=0,0,P6*Inputs!$C$11)</f>
        <v/>
      </c>
      <c r="R7" s="10">
        <f>IF(Q6&lt;=0,0,Q6*Inputs!$C$11)</f>
        <v/>
      </c>
      <c r="S7" s="10">
        <f>IF(R6&lt;=0,0,R6*Inputs!$C$11)</f>
        <v/>
      </c>
      <c r="T7" s="10">
        <f>IF(S6&lt;=0,0,S6*Inputs!$C$11)</f>
        <v/>
      </c>
      <c r="U7" s="10">
        <f>IF(T6&lt;=0,0,T6*Inputs!$C$11)</f>
        <v/>
      </c>
      <c r="V7" s="10">
        <f>IF(U6&lt;=0,0,U6*Inputs!$C$11)</f>
        <v/>
      </c>
      <c r="W7" s="10">
        <f>IF(V6&lt;=0,0,V6*Inputs!$C$11)</f>
        <v/>
      </c>
      <c r="X7" s="10">
        <f>IF(W6&lt;=0,0,W6*Inputs!$C$11)</f>
        <v/>
      </c>
      <c r="Y7" s="10">
        <f>IF(X6&lt;=0,0,X6*Inputs!$C$11)</f>
        <v/>
      </c>
      <c r="Z7" s="10">
        <f>IF(Y6&lt;=0,0,Y6*Inputs!$C$11)</f>
        <v/>
      </c>
      <c r="AA7" s="10">
        <f>IF(Z6&lt;=0,0,Z6*Inputs!$C$11)</f>
        <v/>
      </c>
    </row>
    <row r="8">
      <c r="A8" s="4" t="inlineStr">
        <is>
          <t>Principal Payment ($)</t>
        </is>
      </c>
      <c r="B8" s="10" t="n">
        <v>0</v>
      </c>
      <c r="C8" s="10">
        <f>IF(B6&lt;=0,0,C9-C7)</f>
        <v/>
      </c>
      <c r="D8" s="10">
        <f>IF(B6&lt;=0,0,D9-D7)</f>
        <v/>
      </c>
      <c r="E8" s="10">
        <f>IF(B6&lt;=0,0,E9-E7)</f>
        <v/>
      </c>
      <c r="F8" s="10">
        <f>IF(B6&lt;=0,0,F9-F7)</f>
        <v/>
      </c>
      <c r="G8" s="10">
        <f>IF(B6&lt;=0,0,G9-G7)</f>
        <v/>
      </c>
      <c r="H8" s="10">
        <f>IF(B6&lt;=0,0,H9-H7)</f>
        <v/>
      </c>
      <c r="I8" s="10">
        <f>IF(B6&lt;=0,0,I9-I7)</f>
        <v/>
      </c>
      <c r="J8" s="10">
        <f>IF(B6&lt;=0,0,J9-J7)</f>
        <v/>
      </c>
      <c r="K8" s="10">
        <f>IF(B6&lt;=0,0,K9-K7)</f>
        <v/>
      </c>
      <c r="L8" s="10">
        <f>IF(B6&lt;=0,0,L9-L7)</f>
        <v/>
      </c>
      <c r="M8" s="10">
        <f>IF(B6&lt;=0,0,M9-M7)</f>
        <v/>
      </c>
      <c r="N8" s="10">
        <f>IF(B6&lt;=0,0,N9-N7)</f>
        <v/>
      </c>
      <c r="O8" s="10">
        <f>IF(B6&lt;=0,0,O9-O7)</f>
        <v/>
      </c>
      <c r="P8" s="10">
        <f>IF(B6&lt;=0,0,P9-P7)</f>
        <v/>
      </c>
      <c r="Q8" s="10">
        <f>IF(B6&lt;=0,0,Q9-Q7)</f>
        <v/>
      </c>
      <c r="R8" s="10">
        <f>IF(B6&lt;=0,0,R9-R7)</f>
        <v/>
      </c>
      <c r="S8" s="10">
        <f>IF(B6&lt;=0,0,S9-S7)</f>
        <v/>
      </c>
      <c r="T8" s="10">
        <f>IF(B6&lt;=0,0,T9-T7)</f>
        <v/>
      </c>
      <c r="U8" s="10">
        <f>IF(B6&lt;=0,0,U9-U7)</f>
        <v/>
      </c>
      <c r="V8" s="10">
        <f>IF(B6&lt;=0,0,V9-V7)</f>
        <v/>
      </c>
      <c r="W8" s="10">
        <f>IF(B6&lt;=0,0,W9-W7)</f>
        <v/>
      </c>
      <c r="X8" s="10">
        <f>IF(B6&lt;=0,0,X9-X7)</f>
        <v/>
      </c>
      <c r="Y8" s="10">
        <f>IF(B6&lt;=0,0,Y9-Y7)</f>
        <v/>
      </c>
      <c r="Z8" s="10">
        <f>IF(B6&lt;=0,0,Z9-Z7)</f>
        <v/>
      </c>
      <c r="AA8" s="10">
        <f>IF(B6&lt;=0,0,AA9-AA7)</f>
        <v/>
      </c>
    </row>
    <row r="9">
      <c r="A9" s="16" t="inlineStr">
        <is>
          <t>Total Payment - P&amp;I ($)</t>
        </is>
      </c>
      <c r="B9" s="10" t="n">
        <v>0</v>
      </c>
      <c r="C9" s="10">
        <f>IF(B6&lt;=0,0,ABS(PMT(Inputs!$C$11,Inputs!$C$13,B6,0)))</f>
        <v/>
      </c>
      <c r="D9" s="10">
        <f>IF(B6&lt;=0,0,ABS(PMT(Inputs!$C$11,Inputs!$C$13,B6,0)))</f>
        <v/>
      </c>
      <c r="E9" s="10">
        <f>IF(B6&lt;=0,0,ABS(PMT(Inputs!$C$11,Inputs!$C$13,B6,0)))</f>
        <v/>
      </c>
      <c r="F9" s="10">
        <f>IF(B6&lt;=0,0,ABS(PMT(Inputs!$C$11,Inputs!$C$13,B6,0)))</f>
        <v/>
      </c>
      <c r="G9" s="10">
        <f>IF(B6&lt;=0,0,ABS(PMT(Inputs!$C$11,Inputs!$C$13,B6,0)))</f>
        <v/>
      </c>
      <c r="H9" s="10">
        <f>IF(B6&lt;=0,0,ABS(PMT(Inputs!$C$11,Inputs!$C$13,B6,0)))</f>
        <v/>
      </c>
      <c r="I9" s="10">
        <f>IF(B6&lt;=0,0,ABS(PMT(Inputs!$C$11,Inputs!$C$13,B6,0)))</f>
        <v/>
      </c>
      <c r="J9" s="10">
        <f>IF(B6&lt;=0,0,ABS(PMT(Inputs!$C$11,Inputs!$C$13,B6,0)))</f>
        <v/>
      </c>
      <c r="K9" s="10">
        <f>IF(B6&lt;=0,0,ABS(PMT(Inputs!$C$11,Inputs!$C$13,B6,0)))</f>
        <v/>
      </c>
      <c r="L9" s="10">
        <f>IF(B6&lt;=0,0,ABS(PMT(Inputs!$C$11,Inputs!$C$13,B6,0)))</f>
        <v/>
      </c>
      <c r="M9" s="10">
        <f>IF(B6&lt;=0,0,ABS(PMT(Inputs!$C$11,Inputs!$C$13,B6,0)))</f>
        <v/>
      </c>
      <c r="N9" s="10">
        <f>IF(B6&lt;=0,0,ABS(PMT(Inputs!$C$11,Inputs!$C$13,B6,0)))</f>
        <v/>
      </c>
      <c r="O9" s="10">
        <f>IF(B6&lt;=0,0,ABS(PMT(Inputs!$C$11,Inputs!$C$13,B6,0)))</f>
        <v/>
      </c>
      <c r="P9" s="10">
        <f>IF(B6&lt;=0,0,ABS(PMT(Inputs!$C$11,Inputs!$C$13,B6,0)))</f>
        <v/>
      </c>
      <c r="Q9" s="10">
        <f>IF(B6&lt;=0,0,ABS(PMT(Inputs!$C$11,Inputs!$C$13,B6,0)))</f>
        <v/>
      </c>
      <c r="R9" s="10">
        <f>IF(B6&lt;=0,0,ABS(PMT(Inputs!$C$11,Inputs!$C$13,B6,0)))</f>
        <v/>
      </c>
      <c r="S9" s="10">
        <f>IF(B6&lt;=0,0,ABS(PMT(Inputs!$C$11,Inputs!$C$13,B6,0)))</f>
        <v/>
      </c>
      <c r="T9" s="10">
        <f>IF(B6&lt;=0,0,ABS(PMT(Inputs!$C$11,Inputs!$C$13,B6,0)))</f>
        <v/>
      </c>
      <c r="U9" s="10">
        <f>IF(B6&lt;=0,0,ABS(PMT(Inputs!$C$11,Inputs!$C$13,B6,0)))</f>
        <v/>
      </c>
      <c r="V9" s="10">
        <f>IF(B6&lt;=0,0,ABS(PMT(Inputs!$C$11,Inputs!$C$13,B6,0)))</f>
        <v/>
      </c>
      <c r="W9" s="10">
        <f>IF(B6&lt;=0,0,ABS(PMT(Inputs!$C$11,Inputs!$C$13,B6,0)))</f>
        <v/>
      </c>
      <c r="X9" s="10">
        <f>IF(B6&lt;=0,0,ABS(PMT(Inputs!$C$11,Inputs!$C$13,B6,0)))</f>
        <v/>
      </c>
      <c r="Y9" s="10">
        <f>IF(B6&lt;=0,0,ABS(PMT(Inputs!$C$11,Inputs!$C$13,B6,0)))</f>
        <v/>
      </c>
      <c r="Z9" s="10">
        <f>IF(B6&lt;=0,0,ABS(PMT(Inputs!$C$11,Inputs!$C$13,B6,0)))</f>
        <v/>
      </c>
      <c r="AA9" s="10">
        <f>IF(B6&lt;=0,0,ABS(PMT(Inputs!$C$11,Inputs!$C$13,B6,0)))</f>
        <v/>
      </c>
      <c r="AB9" s="10">
        <f>SUM(C9:AA9)</f>
        <v/>
      </c>
      <c r="AC9" s="10">
        <f>NPV(Inputs!$C$12,C9:AA9)</f>
        <v/>
      </c>
    </row>
    <row r="11">
      <c r="A11" s="4" t="inlineStr">
        <is>
          <t>Elec. Bill - No System ($)</t>
        </is>
      </c>
      <c r="B11" s="10" t="n">
        <v>0</v>
      </c>
      <c r="C11" s="15">
        <f>Inputs!C25</f>
        <v/>
      </c>
      <c r="D11" s="10">
        <f>C11*(1+Inputs!$C$14)</f>
        <v/>
      </c>
      <c r="E11" s="10">
        <f>D11*(1+Inputs!$C$14)</f>
        <v/>
      </c>
      <c r="F11" s="10">
        <f>E11*(1+Inputs!$C$14)</f>
        <v/>
      </c>
      <c r="G11" s="10">
        <f>F11*(1+Inputs!$C$14)</f>
        <v/>
      </c>
      <c r="H11" s="10">
        <f>G11*(1+Inputs!$C$14)</f>
        <v/>
      </c>
      <c r="I11" s="10">
        <f>H11*(1+Inputs!$C$14)</f>
        <v/>
      </c>
      <c r="J11" s="10">
        <f>I11*(1+Inputs!$C$14)</f>
        <v/>
      </c>
      <c r="K11" s="10">
        <f>J11*(1+Inputs!$C$14)</f>
        <v/>
      </c>
      <c r="L11" s="10">
        <f>K11*(1+Inputs!$C$14)</f>
        <v/>
      </c>
      <c r="M11" s="10">
        <f>L11*(1+Inputs!$C$14)</f>
        <v/>
      </c>
      <c r="N11" s="10">
        <f>M11*(1+Inputs!$C$14)</f>
        <v/>
      </c>
      <c r="O11" s="10">
        <f>N11*(1+Inputs!$C$14)</f>
        <v/>
      </c>
      <c r="P11" s="10">
        <f>O11*(1+Inputs!$C$14)</f>
        <v/>
      </c>
      <c r="Q11" s="10">
        <f>P11*(1+Inputs!$C$14)</f>
        <v/>
      </c>
      <c r="R11" s="10">
        <f>Q11*(1+Inputs!$C$14)</f>
        <v/>
      </c>
      <c r="S11" s="10">
        <f>R11*(1+Inputs!$C$14)</f>
        <v/>
      </c>
      <c r="T11" s="10">
        <f>S11*(1+Inputs!$C$14)</f>
        <v/>
      </c>
      <c r="U11" s="10">
        <f>T11*(1+Inputs!$C$14)</f>
        <v/>
      </c>
      <c r="V11" s="10">
        <f>U11*(1+Inputs!$C$14)</f>
        <v/>
      </c>
      <c r="W11" s="10">
        <f>V11*(1+Inputs!$C$14)</f>
        <v/>
      </c>
      <c r="X11" s="10">
        <f>W11*(1+Inputs!$C$14)</f>
        <v/>
      </c>
      <c r="Y11" s="10">
        <f>X11*(1+Inputs!$C$14)</f>
        <v/>
      </c>
      <c r="Z11" s="10">
        <f>Y11*(1+Inputs!$C$14)</f>
        <v/>
      </c>
      <c r="AA11" s="10">
        <f>Z11*(1+Inputs!$C$14)</f>
        <v/>
      </c>
    </row>
    <row r="12">
      <c r="A12" s="4" t="inlineStr">
        <is>
          <t>Elec. Bill - With System ($)</t>
        </is>
      </c>
      <c r="B12" s="10" t="n">
        <v>0</v>
      </c>
      <c r="C12" s="15">
        <f>Inputs!D25</f>
        <v/>
      </c>
      <c r="D12" s="10">
        <f>C12*(1+Inputs!$C$14)</f>
        <v/>
      </c>
      <c r="E12" s="10">
        <f>D12*(1+Inputs!$C$14)</f>
        <v/>
      </c>
      <c r="F12" s="10">
        <f>E12*(1+Inputs!$C$14)</f>
        <v/>
      </c>
      <c r="G12" s="10">
        <f>F12*(1+Inputs!$C$14)</f>
        <v/>
      </c>
      <c r="H12" s="10">
        <f>G12*(1+Inputs!$C$14)</f>
        <v/>
      </c>
      <c r="I12" s="10">
        <f>H12*(1+Inputs!$C$14)</f>
        <v/>
      </c>
      <c r="J12" s="10">
        <f>I12*(1+Inputs!$C$14)</f>
        <v/>
      </c>
      <c r="K12" s="10">
        <f>J12*(1+Inputs!$C$14)</f>
        <v/>
      </c>
      <c r="L12" s="10">
        <f>K12*(1+Inputs!$C$14)</f>
        <v/>
      </c>
      <c r="M12" s="10">
        <f>L12*(1+Inputs!$C$14)</f>
        <v/>
      </c>
      <c r="N12" s="10">
        <f>M12*(1+Inputs!$C$14)</f>
        <v/>
      </c>
      <c r="O12" s="10">
        <f>N12*(1+Inputs!$C$14)</f>
        <v/>
      </c>
      <c r="P12" s="10">
        <f>O12*(1+Inputs!$C$14)</f>
        <v/>
      </c>
      <c r="Q12" s="10">
        <f>P12*(1+Inputs!$C$14)</f>
        <v/>
      </c>
      <c r="R12" s="10">
        <f>Q12*(1+Inputs!$C$14)</f>
        <v/>
      </c>
      <c r="S12" s="10">
        <f>R12*(1+Inputs!$C$14)</f>
        <v/>
      </c>
      <c r="T12" s="10">
        <f>S12*(1+Inputs!$C$14)</f>
        <v/>
      </c>
      <c r="U12" s="10">
        <f>T12*(1+Inputs!$C$14)</f>
        <v/>
      </c>
      <c r="V12" s="10">
        <f>U12*(1+Inputs!$C$14)</f>
        <v/>
      </c>
      <c r="W12" s="10">
        <f>V12*(1+Inputs!$C$14)</f>
        <v/>
      </c>
      <c r="X12" s="10">
        <f>W12*(1+Inputs!$C$14)</f>
        <v/>
      </c>
      <c r="Y12" s="10">
        <f>X12*(1+Inputs!$C$14)</f>
        <v/>
      </c>
      <c r="Z12" s="10">
        <f>Y12*(1+Inputs!$C$14)</f>
        <v/>
      </c>
      <c r="AA12" s="10">
        <f>Z12*(1+Inputs!$C$14)</f>
        <v/>
      </c>
    </row>
    <row r="13">
      <c r="A13" s="4" t="inlineStr">
        <is>
          <t>Bill Savings ($)</t>
        </is>
      </c>
      <c r="B13" s="10" t="n">
        <v>0</v>
      </c>
      <c r="C13" s="10">
        <f>C11-C12</f>
        <v/>
      </c>
      <c r="D13" s="10">
        <f>D11-D12</f>
        <v/>
      </c>
      <c r="E13" s="10">
        <f>E11-E12</f>
        <v/>
      </c>
      <c r="F13" s="10">
        <f>F11-F12</f>
        <v/>
      </c>
      <c r="G13" s="10">
        <f>G11-G12</f>
        <v/>
      </c>
      <c r="H13" s="10">
        <f>H11-H12</f>
        <v/>
      </c>
      <c r="I13" s="10">
        <f>I11-I12</f>
        <v/>
      </c>
      <c r="J13" s="10">
        <f>J11-J12</f>
        <v/>
      </c>
      <c r="K13" s="10">
        <f>K11-K12</f>
        <v/>
      </c>
      <c r="L13" s="10">
        <f>L11-L12</f>
        <v/>
      </c>
      <c r="M13" s="10">
        <f>M11-M12</f>
        <v/>
      </c>
      <c r="N13" s="10">
        <f>N11-N12</f>
        <v/>
      </c>
      <c r="O13" s="10">
        <f>O11-O12</f>
        <v/>
      </c>
      <c r="P13" s="10">
        <f>P11-P12</f>
        <v/>
      </c>
      <c r="Q13" s="10">
        <f>Q11-Q12</f>
        <v/>
      </c>
      <c r="R13" s="10">
        <f>R11-R12</f>
        <v/>
      </c>
      <c r="S13" s="10">
        <f>S11-S12</f>
        <v/>
      </c>
      <c r="T13" s="10">
        <f>T11-T12</f>
        <v/>
      </c>
      <c r="U13" s="10">
        <f>U11-U12</f>
        <v/>
      </c>
      <c r="V13" s="10">
        <f>V11-V12</f>
        <v/>
      </c>
      <c r="W13" s="10">
        <f>W11-W12</f>
        <v/>
      </c>
      <c r="X13" s="10">
        <f>X11-X12</f>
        <v/>
      </c>
      <c r="Y13" s="10">
        <f>Y11-Y12</f>
        <v/>
      </c>
      <c r="Z13" s="10">
        <f>Z11-Z12</f>
        <v/>
      </c>
      <c r="AA13" s="10">
        <f>AA11-AA12</f>
        <v/>
      </c>
      <c r="AB13" s="10">
        <f>SUM(C13:AA13)</f>
        <v/>
      </c>
      <c r="AC13" s="10">
        <f>NPV(Inputs!$C$12,C13:AA13)</f>
        <v/>
      </c>
    </row>
    <row r="14">
      <c r="A14" s="17" t="inlineStr">
        <is>
          <t>Net Savings ($)</t>
        </is>
      </c>
      <c r="B14" s="18">
        <f>B13-B9</f>
        <v/>
      </c>
      <c r="C14" s="18">
        <f>C13-C9</f>
        <v/>
      </c>
      <c r="D14" s="18">
        <f>D13-D9</f>
        <v/>
      </c>
      <c r="E14" s="18">
        <f>E13-E9</f>
        <v/>
      </c>
      <c r="F14" s="18">
        <f>F13-F9</f>
        <v/>
      </c>
      <c r="G14" s="18">
        <f>G13-G9</f>
        <v/>
      </c>
      <c r="H14" s="18">
        <f>H13-H9</f>
        <v/>
      </c>
      <c r="I14" s="18">
        <f>I13-I9</f>
        <v/>
      </c>
      <c r="J14" s="18">
        <f>J13-J9</f>
        <v/>
      </c>
      <c r="K14" s="18">
        <f>K13-K9</f>
        <v/>
      </c>
      <c r="L14" s="18">
        <f>L13-L9</f>
        <v/>
      </c>
      <c r="M14" s="18">
        <f>M13-M9</f>
        <v/>
      </c>
      <c r="N14" s="18">
        <f>N13-N9</f>
        <v/>
      </c>
      <c r="O14" s="18">
        <f>O13-O9</f>
        <v/>
      </c>
      <c r="P14" s="18">
        <f>P13-P9</f>
        <v/>
      </c>
      <c r="Q14" s="18">
        <f>Q13-Q9</f>
        <v/>
      </c>
      <c r="R14" s="18">
        <f>R13-R9</f>
        <v/>
      </c>
      <c r="S14" s="18">
        <f>S13-S9</f>
        <v/>
      </c>
      <c r="T14" s="18">
        <f>T13-T9</f>
        <v/>
      </c>
      <c r="U14" s="18">
        <f>U13-U9</f>
        <v/>
      </c>
      <c r="V14" s="18">
        <f>V13-V9</f>
        <v/>
      </c>
      <c r="W14" s="18">
        <f>W13-W9</f>
        <v/>
      </c>
      <c r="X14" s="18">
        <f>X13-X9</f>
        <v/>
      </c>
      <c r="Y14" s="18">
        <f>Y13-Y9</f>
        <v/>
      </c>
      <c r="Z14" s="18">
        <f>Z13-Z9</f>
        <v/>
      </c>
      <c r="AA14" s="18">
        <f>AA13-AA9</f>
        <v/>
      </c>
      <c r="AB14" s="18">
        <f>SUM(C14:AA14)</f>
        <v/>
      </c>
      <c r="AC14" s="18">
        <f>NPV(Inputs!$C$12,C14:AA14)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SDG&amp;E - PV+Storage (EV-TOU-5)</t>
        </is>
      </c>
    </row>
    <row r="2">
      <c r="A2" s="2" t="inlineStr">
        <is>
          <t>All formulas reference Inputs sheet. No incentives (Phase A).</t>
        </is>
      </c>
    </row>
    <row r="4">
      <c r="A4" s="3" t="inlineStr">
        <is>
          <t>No Incentives (ITC=0%, SGIP=$0)</t>
        </is>
      </c>
    </row>
    <row r="5">
      <c r="A5" s="13" t="inlineStr">
        <is>
          <t>Year</t>
        </is>
      </c>
      <c r="B5" s="14" t="n">
        <v>0</v>
      </c>
      <c r="C5" s="14" t="n">
        <v>1</v>
      </c>
      <c r="D5" s="14" t="n">
        <v>2</v>
      </c>
      <c r="E5" s="14" t="n">
        <v>3</v>
      </c>
      <c r="F5" s="14" t="n">
        <v>4</v>
      </c>
      <c r="G5" s="14" t="n">
        <v>5</v>
      </c>
      <c r="H5" s="14" t="n">
        <v>6</v>
      </c>
      <c r="I5" s="14" t="n">
        <v>7</v>
      </c>
      <c r="J5" s="14" t="n">
        <v>8</v>
      </c>
      <c r="K5" s="14" t="n">
        <v>9</v>
      </c>
      <c r="L5" s="14" t="n">
        <v>10</v>
      </c>
      <c r="M5" s="14" t="n">
        <v>11</v>
      </c>
      <c r="N5" s="14" t="n">
        <v>12</v>
      </c>
      <c r="O5" s="14" t="n">
        <v>13</v>
      </c>
      <c r="P5" s="14" t="n">
        <v>14</v>
      </c>
      <c r="Q5" s="14" t="n">
        <v>15</v>
      </c>
      <c r="R5" s="14" t="n">
        <v>16</v>
      </c>
      <c r="S5" s="14" t="n">
        <v>17</v>
      </c>
      <c r="T5" s="14" t="n">
        <v>18</v>
      </c>
      <c r="U5" s="14" t="n">
        <v>19</v>
      </c>
      <c r="V5" s="14" t="n">
        <v>20</v>
      </c>
      <c r="W5" s="14" t="n">
        <v>21</v>
      </c>
      <c r="X5" s="14" t="n">
        <v>22</v>
      </c>
      <c r="Y5" s="14" t="n">
        <v>23</v>
      </c>
      <c r="Z5" s="14" t="n">
        <v>24</v>
      </c>
      <c r="AA5" s="14" t="n">
        <v>25</v>
      </c>
      <c r="AB5" s="13" t="inlineStr">
        <is>
          <t>25yr Total</t>
        </is>
      </c>
      <c r="AC5" s="13" t="inlineStr">
        <is>
          <t>25yr NPV</t>
        </is>
      </c>
    </row>
    <row r="6">
      <c r="A6" s="4" t="inlineStr">
        <is>
          <t>Debt Balance ($)</t>
        </is>
      </c>
      <c r="B6" s="15">
        <f>Inputs!C5</f>
        <v/>
      </c>
      <c r="C6" s="10">
        <f>MAX(0,B6-C8)</f>
        <v/>
      </c>
      <c r="D6" s="10">
        <f>MAX(0,C6-D8)</f>
        <v/>
      </c>
      <c r="E6" s="10">
        <f>MAX(0,D6-E8)</f>
        <v/>
      </c>
      <c r="F6" s="10">
        <f>MAX(0,E6-F8)</f>
        <v/>
      </c>
      <c r="G6" s="10">
        <f>MAX(0,F6-G8)</f>
        <v/>
      </c>
      <c r="H6" s="10">
        <f>MAX(0,G6-H8)</f>
        <v/>
      </c>
      <c r="I6" s="10">
        <f>MAX(0,H6-I8)</f>
        <v/>
      </c>
      <c r="J6" s="10">
        <f>MAX(0,I6-J8)</f>
        <v/>
      </c>
      <c r="K6" s="10">
        <f>MAX(0,J6-K8)</f>
        <v/>
      </c>
      <c r="L6" s="10">
        <f>MAX(0,K6-L8)</f>
        <v/>
      </c>
      <c r="M6" s="10">
        <f>MAX(0,L6-M8)</f>
        <v/>
      </c>
      <c r="N6" s="10">
        <f>MAX(0,M6-N8)</f>
        <v/>
      </c>
      <c r="O6" s="10">
        <f>MAX(0,N6-O8)</f>
        <v/>
      </c>
      <c r="P6" s="10">
        <f>MAX(0,O6-P8)</f>
        <v/>
      </c>
      <c r="Q6" s="10">
        <f>MAX(0,P6-Q8)</f>
        <v/>
      </c>
      <c r="R6" s="10">
        <f>MAX(0,Q6-R8)</f>
        <v/>
      </c>
      <c r="S6" s="10">
        <f>MAX(0,R6-S8)</f>
        <v/>
      </c>
      <c r="T6" s="10">
        <f>MAX(0,S6-T8)</f>
        <v/>
      </c>
      <c r="U6" s="10">
        <f>MAX(0,T6-U8)</f>
        <v/>
      </c>
      <c r="V6" s="10">
        <f>MAX(0,U6-V8)</f>
        <v/>
      </c>
      <c r="W6" s="10">
        <f>MAX(0,V6-W8)</f>
        <v/>
      </c>
      <c r="X6" s="10">
        <f>MAX(0,W6-X8)</f>
        <v/>
      </c>
      <c r="Y6" s="10">
        <f>MAX(0,X6-Y8)</f>
        <v/>
      </c>
      <c r="Z6" s="10">
        <f>MAX(0,Y6-Z8)</f>
        <v/>
      </c>
      <c r="AA6" s="10">
        <f>MAX(0,Z6-AA8)</f>
        <v/>
      </c>
    </row>
    <row r="7">
      <c r="A7" s="4" t="inlineStr">
        <is>
          <t>Interest Payment ($)</t>
        </is>
      </c>
      <c r="B7" s="10" t="n">
        <v>0</v>
      </c>
      <c r="C7" s="10">
        <f>IF(B6&lt;=0,0,B6*Inputs!$C$11)</f>
        <v/>
      </c>
      <c r="D7" s="10">
        <f>IF(C6&lt;=0,0,C6*Inputs!$C$11)</f>
        <v/>
      </c>
      <c r="E7" s="10">
        <f>IF(D6&lt;=0,0,D6*Inputs!$C$11)</f>
        <v/>
      </c>
      <c r="F7" s="10">
        <f>IF(E6&lt;=0,0,E6*Inputs!$C$11)</f>
        <v/>
      </c>
      <c r="G7" s="10">
        <f>IF(F6&lt;=0,0,F6*Inputs!$C$11)</f>
        <v/>
      </c>
      <c r="H7" s="10">
        <f>IF(G6&lt;=0,0,G6*Inputs!$C$11)</f>
        <v/>
      </c>
      <c r="I7" s="10">
        <f>IF(H6&lt;=0,0,H6*Inputs!$C$11)</f>
        <v/>
      </c>
      <c r="J7" s="10">
        <f>IF(I6&lt;=0,0,I6*Inputs!$C$11)</f>
        <v/>
      </c>
      <c r="K7" s="10">
        <f>IF(J6&lt;=0,0,J6*Inputs!$C$11)</f>
        <v/>
      </c>
      <c r="L7" s="10">
        <f>IF(K6&lt;=0,0,K6*Inputs!$C$11)</f>
        <v/>
      </c>
      <c r="M7" s="10">
        <f>IF(L6&lt;=0,0,L6*Inputs!$C$11)</f>
        <v/>
      </c>
      <c r="N7" s="10">
        <f>IF(M6&lt;=0,0,M6*Inputs!$C$11)</f>
        <v/>
      </c>
      <c r="O7" s="10">
        <f>IF(N6&lt;=0,0,N6*Inputs!$C$11)</f>
        <v/>
      </c>
      <c r="P7" s="10">
        <f>IF(O6&lt;=0,0,O6*Inputs!$C$11)</f>
        <v/>
      </c>
      <c r="Q7" s="10">
        <f>IF(P6&lt;=0,0,P6*Inputs!$C$11)</f>
        <v/>
      </c>
      <c r="R7" s="10">
        <f>IF(Q6&lt;=0,0,Q6*Inputs!$C$11)</f>
        <v/>
      </c>
      <c r="S7" s="10">
        <f>IF(R6&lt;=0,0,R6*Inputs!$C$11)</f>
        <v/>
      </c>
      <c r="T7" s="10">
        <f>IF(S6&lt;=0,0,S6*Inputs!$C$11)</f>
        <v/>
      </c>
      <c r="U7" s="10">
        <f>IF(T6&lt;=0,0,T6*Inputs!$C$11)</f>
        <v/>
      </c>
      <c r="V7" s="10">
        <f>IF(U6&lt;=0,0,U6*Inputs!$C$11)</f>
        <v/>
      </c>
      <c r="W7" s="10">
        <f>IF(V6&lt;=0,0,V6*Inputs!$C$11)</f>
        <v/>
      </c>
      <c r="X7" s="10">
        <f>IF(W6&lt;=0,0,W6*Inputs!$C$11)</f>
        <v/>
      </c>
      <c r="Y7" s="10">
        <f>IF(X6&lt;=0,0,X6*Inputs!$C$11)</f>
        <v/>
      </c>
      <c r="Z7" s="10">
        <f>IF(Y6&lt;=0,0,Y6*Inputs!$C$11)</f>
        <v/>
      </c>
      <c r="AA7" s="10">
        <f>IF(Z6&lt;=0,0,Z6*Inputs!$C$11)</f>
        <v/>
      </c>
    </row>
    <row r="8">
      <c r="A8" s="4" t="inlineStr">
        <is>
          <t>Principal Payment ($)</t>
        </is>
      </c>
      <c r="B8" s="10" t="n">
        <v>0</v>
      </c>
      <c r="C8" s="10">
        <f>IF(B6&lt;=0,0,C9-C7)</f>
        <v/>
      </c>
      <c r="D8" s="10">
        <f>IF(B6&lt;=0,0,D9-D7)</f>
        <v/>
      </c>
      <c r="E8" s="10">
        <f>IF(B6&lt;=0,0,E9-E7)</f>
        <v/>
      </c>
      <c r="F8" s="10">
        <f>IF(B6&lt;=0,0,F9-F7)</f>
        <v/>
      </c>
      <c r="G8" s="10">
        <f>IF(B6&lt;=0,0,G9-G7)</f>
        <v/>
      </c>
      <c r="H8" s="10">
        <f>IF(B6&lt;=0,0,H9-H7)</f>
        <v/>
      </c>
      <c r="I8" s="10">
        <f>IF(B6&lt;=0,0,I9-I7)</f>
        <v/>
      </c>
      <c r="J8" s="10">
        <f>IF(B6&lt;=0,0,J9-J7)</f>
        <v/>
      </c>
      <c r="K8" s="10">
        <f>IF(B6&lt;=0,0,K9-K7)</f>
        <v/>
      </c>
      <c r="L8" s="10">
        <f>IF(B6&lt;=0,0,L9-L7)</f>
        <v/>
      </c>
      <c r="M8" s="10">
        <f>IF(B6&lt;=0,0,M9-M7)</f>
        <v/>
      </c>
      <c r="N8" s="10">
        <f>IF(B6&lt;=0,0,N9-N7)</f>
        <v/>
      </c>
      <c r="O8" s="10">
        <f>IF(B6&lt;=0,0,O9-O7)</f>
        <v/>
      </c>
      <c r="P8" s="10">
        <f>IF(B6&lt;=0,0,P9-P7)</f>
        <v/>
      </c>
      <c r="Q8" s="10">
        <f>IF(B6&lt;=0,0,Q9-Q7)</f>
        <v/>
      </c>
      <c r="R8" s="10">
        <f>IF(B6&lt;=0,0,R9-R7)</f>
        <v/>
      </c>
      <c r="S8" s="10">
        <f>IF(B6&lt;=0,0,S9-S7)</f>
        <v/>
      </c>
      <c r="T8" s="10">
        <f>IF(B6&lt;=0,0,T9-T7)</f>
        <v/>
      </c>
      <c r="U8" s="10">
        <f>IF(B6&lt;=0,0,U9-U7)</f>
        <v/>
      </c>
      <c r="V8" s="10">
        <f>IF(B6&lt;=0,0,V9-V7)</f>
        <v/>
      </c>
      <c r="W8" s="10">
        <f>IF(B6&lt;=0,0,W9-W7)</f>
        <v/>
      </c>
      <c r="X8" s="10">
        <f>IF(B6&lt;=0,0,X9-X7)</f>
        <v/>
      </c>
      <c r="Y8" s="10">
        <f>IF(B6&lt;=0,0,Y9-Y7)</f>
        <v/>
      </c>
      <c r="Z8" s="10">
        <f>IF(B6&lt;=0,0,Z9-Z7)</f>
        <v/>
      </c>
      <c r="AA8" s="10">
        <f>IF(B6&lt;=0,0,AA9-AA7)</f>
        <v/>
      </c>
    </row>
    <row r="9">
      <c r="A9" s="16" t="inlineStr">
        <is>
          <t>Total Payment - P&amp;I ($)</t>
        </is>
      </c>
      <c r="B9" s="10" t="n">
        <v>0</v>
      </c>
      <c r="C9" s="10">
        <f>IF(B6&lt;=0,0,ABS(PMT(Inputs!$C$11,Inputs!$C$13,B6,0)))</f>
        <v/>
      </c>
      <c r="D9" s="10">
        <f>IF(B6&lt;=0,0,ABS(PMT(Inputs!$C$11,Inputs!$C$13,B6,0)))</f>
        <v/>
      </c>
      <c r="E9" s="10">
        <f>IF(B6&lt;=0,0,ABS(PMT(Inputs!$C$11,Inputs!$C$13,B6,0)))</f>
        <v/>
      </c>
      <c r="F9" s="10">
        <f>IF(B6&lt;=0,0,ABS(PMT(Inputs!$C$11,Inputs!$C$13,B6,0)))</f>
        <v/>
      </c>
      <c r="G9" s="10">
        <f>IF(B6&lt;=0,0,ABS(PMT(Inputs!$C$11,Inputs!$C$13,B6,0)))</f>
        <v/>
      </c>
      <c r="H9" s="10">
        <f>IF(B6&lt;=0,0,ABS(PMT(Inputs!$C$11,Inputs!$C$13,B6,0)))</f>
        <v/>
      </c>
      <c r="I9" s="10">
        <f>IF(B6&lt;=0,0,ABS(PMT(Inputs!$C$11,Inputs!$C$13,B6,0)))</f>
        <v/>
      </c>
      <c r="J9" s="10">
        <f>IF(B6&lt;=0,0,ABS(PMT(Inputs!$C$11,Inputs!$C$13,B6,0)))</f>
        <v/>
      </c>
      <c r="K9" s="10">
        <f>IF(B6&lt;=0,0,ABS(PMT(Inputs!$C$11,Inputs!$C$13,B6,0)))</f>
        <v/>
      </c>
      <c r="L9" s="10">
        <f>IF(B6&lt;=0,0,ABS(PMT(Inputs!$C$11,Inputs!$C$13,B6,0)))</f>
        <v/>
      </c>
      <c r="M9" s="10">
        <f>IF(B6&lt;=0,0,ABS(PMT(Inputs!$C$11,Inputs!$C$13,B6,0)))</f>
        <v/>
      </c>
      <c r="N9" s="10">
        <f>IF(B6&lt;=0,0,ABS(PMT(Inputs!$C$11,Inputs!$C$13,B6,0)))</f>
        <v/>
      </c>
      <c r="O9" s="10">
        <f>IF(B6&lt;=0,0,ABS(PMT(Inputs!$C$11,Inputs!$C$13,B6,0)))</f>
        <v/>
      </c>
      <c r="P9" s="10">
        <f>IF(B6&lt;=0,0,ABS(PMT(Inputs!$C$11,Inputs!$C$13,B6,0)))</f>
        <v/>
      </c>
      <c r="Q9" s="10">
        <f>IF(B6&lt;=0,0,ABS(PMT(Inputs!$C$11,Inputs!$C$13,B6,0)))</f>
        <v/>
      </c>
      <c r="R9" s="10">
        <f>IF(B6&lt;=0,0,ABS(PMT(Inputs!$C$11,Inputs!$C$13,B6,0)))</f>
        <v/>
      </c>
      <c r="S9" s="10">
        <f>IF(B6&lt;=0,0,ABS(PMT(Inputs!$C$11,Inputs!$C$13,B6,0)))</f>
        <v/>
      </c>
      <c r="T9" s="10">
        <f>IF(B6&lt;=0,0,ABS(PMT(Inputs!$C$11,Inputs!$C$13,B6,0)))</f>
        <v/>
      </c>
      <c r="U9" s="10">
        <f>IF(B6&lt;=0,0,ABS(PMT(Inputs!$C$11,Inputs!$C$13,B6,0)))</f>
        <v/>
      </c>
      <c r="V9" s="10">
        <f>IF(B6&lt;=0,0,ABS(PMT(Inputs!$C$11,Inputs!$C$13,B6,0)))</f>
        <v/>
      </c>
      <c r="W9" s="10">
        <f>IF(B6&lt;=0,0,ABS(PMT(Inputs!$C$11,Inputs!$C$13,B6,0)))</f>
        <v/>
      </c>
      <c r="X9" s="10">
        <f>IF(B6&lt;=0,0,ABS(PMT(Inputs!$C$11,Inputs!$C$13,B6,0)))</f>
        <v/>
      </c>
      <c r="Y9" s="10">
        <f>IF(B6&lt;=0,0,ABS(PMT(Inputs!$C$11,Inputs!$C$13,B6,0)))</f>
        <v/>
      </c>
      <c r="Z9" s="10">
        <f>IF(B6&lt;=0,0,ABS(PMT(Inputs!$C$11,Inputs!$C$13,B6,0)))</f>
        <v/>
      </c>
      <c r="AA9" s="10">
        <f>IF(B6&lt;=0,0,ABS(PMT(Inputs!$C$11,Inputs!$C$13,B6,0)))</f>
        <v/>
      </c>
      <c r="AB9" s="10">
        <f>SUM(C9:AA9)</f>
        <v/>
      </c>
      <c r="AC9" s="10">
        <f>NPV(Inputs!$C$12,C9:AA9)</f>
        <v/>
      </c>
    </row>
    <row r="11">
      <c r="A11" s="4" t="inlineStr">
        <is>
          <t>Elec. Bill - No System ($)</t>
        </is>
      </c>
      <c r="B11" s="10" t="n">
        <v>0</v>
      </c>
      <c r="C11" s="15">
        <f>Inputs!C26</f>
        <v/>
      </c>
      <c r="D11" s="10">
        <f>C11*(1+Inputs!$C$14)</f>
        <v/>
      </c>
      <c r="E11" s="10">
        <f>D11*(1+Inputs!$C$14)</f>
        <v/>
      </c>
      <c r="F11" s="10">
        <f>E11*(1+Inputs!$C$14)</f>
        <v/>
      </c>
      <c r="G11" s="10">
        <f>F11*(1+Inputs!$C$14)</f>
        <v/>
      </c>
      <c r="H11" s="10">
        <f>G11*(1+Inputs!$C$14)</f>
        <v/>
      </c>
      <c r="I11" s="10">
        <f>H11*(1+Inputs!$C$14)</f>
        <v/>
      </c>
      <c r="J11" s="10">
        <f>I11*(1+Inputs!$C$14)</f>
        <v/>
      </c>
      <c r="K11" s="10">
        <f>J11*(1+Inputs!$C$14)</f>
        <v/>
      </c>
      <c r="L11" s="10">
        <f>K11*(1+Inputs!$C$14)</f>
        <v/>
      </c>
      <c r="M11" s="10">
        <f>L11*(1+Inputs!$C$14)</f>
        <v/>
      </c>
      <c r="N11" s="10">
        <f>M11*(1+Inputs!$C$14)</f>
        <v/>
      </c>
      <c r="O11" s="10">
        <f>N11*(1+Inputs!$C$14)</f>
        <v/>
      </c>
      <c r="P11" s="10">
        <f>O11*(1+Inputs!$C$14)</f>
        <v/>
      </c>
      <c r="Q11" s="10">
        <f>P11*(1+Inputs!$C$14)</f>
        <v/>
      </c>
      <c r="R11" s="10">
        <f>Q11*(1+Inputs!$C$14)</f>
        <v/>
      </c>
      <c r="S11" s="10">
        <f>R11*(1+Inputs!$C$14)</f>
        <v/>
      </c>
      <c r="T11" s="10">
        <f>S11*(1+Inputs!$C$14)</f>
        <v/>
      </c>
      <c r="U11" s="10">
        <f>T11*(1+Inputs!$C$14)</f>
        <v/>
      </c>
      <c r="V11" s="10">
        <f>U11*(1+Inputs!$C$14)</f>
        <v/>
      </c>
      <c r="W11" s="10">
        <f>V11*(1+Inputs!$C$14)</f>
        <v/>
      </c>
      <c r="X11" s="10">
        <f>W11*(1+Inputs!$C$14)</f>
        <v/>
      </c>
      <c r="Y11" s="10">
        <f>X11*(1+Inputs!$C$14)</f>
        <v/>
      </c>
      <c r="Z11" s="10">
        <f>Y11*(1+Inputs!$C$14)</f>
        <v/>
      </c>
      <c r="AA11" s="10">
        <f>Z11*(1+Inputs!$C$14)</f>
        <v/>
      </c>
    </row>
    <row r="12">
      <c r="A12" s="4" t="inlineStr">
        <is>
          <t>Elec. Bill - With System ($)</t>
        </is>
      </c>
      <c r="B12" s="10" t="n">
        <v>0</v>
      </c>
      <c r="C12" s="15">
        <f>Inputs!D26</f>
        <v/>
      </c>
      <c r="D12" s="10">
        <f>C12*(1+Inputs!$C$14)</f>
        <v/>
      </c>
      <c r="E12" s="10">
        <f>D12*(1+Inputs!$C$14)</f>
        <v/>
      </c>
      <c r="F12" s="10">
        <f>E12*(1+Inputs!$C$14)</f>
        <v/>
      </c>
      <c r="G12" s="10">
        <f>F12*(1+Inputs!$C$14)</f>
        <v/>
      </c>
      <c r="H12" s="10">
        <f>G12*(1+Inputs!$C$14)</f>
        <v/>
      </c>
      <c r="I12" s="10">
        <f>H12*(1+Inputs!$C$14)</f>
        <v/>
      </c>
      <c r="J12" s="10">
        <f>I12*(1+Inputs!$C$14)</f>
        <v/>
      </c>
      <c r="K12" s="10">
        <f>J12*(1+Inputs!$C$14)</f>
        <v/>
      </c>
      <c r="L12" s="10">
        <f>K12*(1+Inputs!$C$14)</f>
        <v/>
      </c>
      <c r="M12" s="10">
        <f>L12*(1+Inputs!$C$14)</f>
        <v/>
      </c>
      <c r="N12" s="10">
        <f>M12*(1+Inputs!$C$14)</f>
        <v/>
      </c>
      <c r="O12" s="10">
        <f>N12*(1+Inputs!$C$14)</f>
        <v/>
      </c>
      <c r="P12" s="10">
        <f>O12*(1+Inputs!$C$14)</f>
        <v/>
      </c>
      <c r="Q12" s="10">
        <f>P12*(1+Inputs!$C$14)</f>
        <v/>
      </c>
      <c r="R12" s="10">
        <f>Q12*(1+Inputs!$C$14)</f>
        <v/>
      </c>
      <c r="S12" s="10">
        <f>R12*(1+Inputs!$C$14)</f>
        <v/>
      </c>
      <c r="T12" s="10">
        <f>S12*(1+Inputs!$C$14)</f>
        <v/>
      </c>
      <c r="U12" s="10">
        <f>T12*(1+Inputs!$C$14)</f>
        <v/>
      </c>
      <c r="V12" s="10">
        <f>U12*(1+Inputs!$C$14)</f>
        <v/>
      </c>
      <c r="W12" s="10">
        <f>V12*(1+Inputs!$C$14)</f>
        <v/>
      </c>
      <c r="X12" s="10">
        <f>W12*(1+Inputs!$C$14)</f>
        <v/>
      </c>
      <c r="Y12" s="10">
        <f>X12*(1+Inputs!$C$14)</f>
        <v/>
      </c>
      <c r="Z12" s="10">
        <f>Y12*(1+Inputs!$C$14)</f>
        <v/>
      </c>
      <c r="AA12" s="10">
        <f>Z12*(1+Inputs!$C$14)</f>
        <v/>
      </c>
    </row>
    <row r="13">
      <c r="A13" s="4" t="inlineStr">
        <is>
          <t>Bill Savings ($)</t>
        </is>
      </c>
      <c r="B13" s="10" t="n">
        <v>0</v>
      </c>
      <c r="C13" s="10">
        <f>C11-C12</f>
        <v/>
      </c>
      <c r="D13" s="10">
        <f>D11-D12</f>
        <v/>
      </c>
      <c r="E13" s="10">
        <f>E11-E12</f>
        <v/>
      </c>
      <c r="F13" s="10">
        <f>F11-F12</f>
        <v/>
      </c>
      <c r="G13" s="10">
        <f>G11-G12</f>
        <v/>
      </c>
      <c r="H13" s="10">
        <f>H11-H12</f>
        <v/>
      </c>
      <c r="I13" s="10">
        <f>I11-I12</f>
        <v/>
      </c>
      <c r="J13" s="10">
        <f>J11-J12</f>
        <v/>
      </c>
      <c r="K13" s="10">
        <f>K11-K12</f>
        <v/>
      </c>
      <c r="L13" s="10">
        <f>L11-L12</f>
        <v/>
      </c>
      <c r="M13" s="10">
        <f>M11-M12</f>
        <v/>
      </c>
      <c r="N13" s="10">
        <f>N11-N12</f>
        <v/>
      </c>
      <c r="O13" s="10">
        <f>O11-O12</f>
        <v/>
      </c>
      <c r="P13" s="10">
        <f>P11-P12</f>
        <v/>
      </c>
      <c r="Q13" s="10">
        <f>Q11-Q12</f>
        <v/>
      </c>
      <c r="R13" s="10">
        <f>R11-R12</f>
        <v/>
      </c>
      <c r="S13" s="10">
        <f>S11-S12</f>
        <v/>
      </c>
      <c r="T13" s="10">
        <f>T11-T12</f>
        <v/>
      </c>
      <c r="U13" s="10">
        <f>U11-U12</f>
        <v/>
      </c>
      <c r="V13" s="10">
        <f>V11-V12</f>
        <v/>
      </c>
      <c r="W13" s="10">
        <f>W11-W12</f>
        <v/>
      </c>
      <c r="X13" s="10">
        <f>X11-X12</f>
        <v/>
      </c>
      <c r="Y13" s="10">
        <f>Y11-Y12</f>
        <v/>
      </c>
      <c r="Z13" s="10">
        <f>Z11-Z12</f>
        <v/>
      </c>
      <c r="AA13" s="10">
        <f>AA11-AA12</f>
        <v/>
      </c>
      <c r="AB13" s="10">
        <f>SUM(C13:AA13)</f>
        <v/>
      </c>
      <c r="AC13" s="10">
        <f>NPV(Inputs!$C$12,C13:AA13)</f>
        <v/>
      </c>
    </row>
    <row r="14">
      <c r="A14" s="17" t="inlineStr">
        <is>
          <t>Net Savings ($)</t>
        </is>
      </c>
      <c r="B14" s="18">
        <f>B13-B9</f>
        <v/>
      </c>
      <c r="C14" s="18">
        <f>C13-C9</f>
        <v/>
      </c>
      <c r="D14" s="18">
        <f>D13-D9</f>
        <v/>
      </c>
      <c r="E14" s="18">
        <f>E13-E9</f>
        <v/>
      </c>
      <c r="F14" s="18">
        <f>F13-F9</f>
        <v/>
      </c>
      <c r="G14" s="18">
        <f>G13-G9</f>
        <v/>
      </c>
      <c r="H14" s="18">
        <f>H13-H9</f>
        <v/>
      </c>
      <c r="I14" s="18">
        <f>I13-I9</f>
        <v/>
      </c>
      <c r="J14" s="18">
        <f>J13-J9</f>
        <v/>
      </c>
      <c r="K14" s="18">
        <f>K13-K9</f>
        <v/>
      </c>
      <c r="L14" s="18">
        <f>L13-L9</f>
        <v/>
      </c>
      <c r="M14" s="18">
        <f>M13-M9</f>
        <v/>
      </c>
      <c r="N14" s="18">
        <f>N13-N9</f>
        <v/>
      </c>
      <c r="O14" s="18">
        <f>O13-O9</f>
        <v/>
      </c>
      <c r="P14" s="18">
        <f>P13-P9</f>
        <v/>
      </c>
      <c r="Q14" s="18">
        <f>Q13-Q9</f>
        <v/>
      </c>
      <c r="R14" s="18">
        <f>R13-R9</f>
        <v/>
      </c>
      <c r="S14" s="18">
        <f>S13-S9</f>
        <v/>
      </c>
      <c r="T14" s="18">
        <f>T13-T9</f>
        <v/>
      </c>
      <c r="U14" s="18">
        <f>U13-U9</f>
        <v/>
      </c>
      <c r="V14" s="18">
        <f>V13-V9</f>
        <v/>
      </c>
      <c r="W14" s="18">
        <f>W13-W9</f>
        <v/>
      </c>
      <c r="X14" s="18">
        <f>X13-X9</f>
        <v/>
      </c>
      <c r="Y14" s="18">
        <f>Y13-Y9</f>
        <v/>
      </c>
      <c r="Z14" s="18">
        <f>Z13-Z9</f>
        <v/>
      </c>
      <c r="AA14" s="18">
        <f>AA13-AA9</f>
        <v/>
      </c>
      <c r="AB14" s="18">
        <f>SUM(C14:AA14)</f>
        <v/>
      </c>
      <c r="AC14" s="18">
        <f>NPV(Inputs!$C$12,C14:AA14)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SDG&amp;E (EV-TOU-5) - Summary (No Incentives)</t>
        </is>
      </c>
    </row>
    <row r="3">
      <c r="A3" s="19" t="inlineStr">
        <is>
          <t>System</t>
        </is>
      </c>
      <c r="B3" s="19" t="inlineStr">
        <is>
          <t>System Cost</t>
        </is>
      </c>
      <c r="C3" s="19" t="inlineStr">
        <is>
          <t>Y1 Savings</t>
        </is>
      </c>
      <c r="D3" s="19" t="inlineStr">
        <is>
          <t>PMT</t>
        </is>
      </c>
      <c r="E3" s="19" t="inlineStr">
        <is>
          <t>Monthly Net</t>
        </is>
      </c>
      <c r="F3" s="19" t="inlineStr">
        <is>
          <t>25yr NPV</t>
        </is>
      </c>
    </row>
    <row r="4">
      <c r="A4" s="4" t="inlineStr">
        <is>
          <t>Solar Only</t>
        </is>
      </c>
      <c r="B4" s="15">
        <f>Inputs!C6</f>
        <v/>
      </c>
      <c r="C4" s="15">
        <f>'Solar Only'!C14+'Solar Only'!C13</f>
        <v/>
      </c>
      <c r="D4" s="15">
        <f>'Solar Only'!C13-'Solar Only'!C14</f>
        <v/>
      </c>
      <c r="E4" s="15">
        <f>'Solar Only'!C14/12</f>
        <v/>
      </c>
      <c r="F4" s="15">
        <f>'Solar Only'!AC14</f>
        <v/>
      </c>
    </row>
    <row r="5">
      <c r="A5" s="4" t="inlineStr">
        <is>
          <t>PV+Storage</t>
        </is>
      </c>
      <c r="B5" s="15">
        <f>Inputs!C5</f>
        <v/>
      </c>
      <c r="C5" s="15">
        <f>'PV+Storage'!C14+'PV+Storage'!C13</f>
        <v/>
      </c>
      <c r="D5" s="15">
        <f>'PV+Storage'!C13-'PV+Storage'!C14</f>
        <v/>
      </c>
      <c r="E5" s="15">
        <f>'PV+Storage'!C14/12</f>
        <v/>
      </c>
      <c r="F5" s="15">
        <f>'PV+Storage'!AC14</f>
        <v/>
      </c>
    </row>
    <row r="7">
      <c r="A7" s="16" t="inlineStr">
        <is>
          <t>Battery Delta</t>
        </is>
      </c>
      <c r="B7" s="10">
        <f>B5-B4</f>
        <v/>
      </c>
      <c r="C7" s="10">
        <f>C5-C4</f>
        <v/>
      </c>
      <c r="E7" s="10">
        <f>E5-E4</f>
        <v/>
      </c>
      <c r="F7" s="10">
        <f>F5-F4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Duke NSOE MEM 2026 Cohort</dc:creator>
  <dcterms:created xmlns:dcterms="http://purl.org/dc/terms/" xmlns:xsi="http://www.w3.org/2001/XMLSchema-instance" xsi:type="dcterms:W3CDTF">2026-03-24T15:24:29Z</dcterms:created>
  <dcterms:modified xmlns:dcterms="http://purl.org/dc/terms/" xmlns:xsi="http://www.w3.org/2001/XMLSchema-instance" xsi:type="dcterms:W3CDTF">2026-03-24T15:24:29Z</dcterms:modified>
</cp:coreProperties>
</file>